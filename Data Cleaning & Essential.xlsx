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ajsi\Downloads\MODULE 1 - Excel\MODULE 1 - Excel\Data Cleaning &amp; Essential\"/>
    </mc:Choice>
  </mc:AlternateContent>
  <xr:revisionPtr revIDLastSave="0" documentId="13_ncr:1_{8546868A-C92B-4845-906A-B98B6955431A}" xr6:coauthVersionLast="47" xr6:coauthVersionMax="47" xr10:uidLastSave="{00000000-0000-0000-0000-000000000000}"/>
  <bookViews>
    <workbookView xWindow="-108" yWindow="-108" windowWidth="23256" windowHeight="12456" activeTab="7" xr2:uid="{BF346AE6-D72E-435C-A94A-A4B81CB2415D}"/>
  </bookViews>
  <sheets>
    <sheet name="Q1" sheetId="1" r:id="rId1"/>
    <sheet name="Q2" sheetId="2" r:id="rId2"/>
    <sheet name="Q3" sheetId="3" r:id="rId3"/>
    <sheet name="Q4" sheetId="4" r:id="rId4"/>
    <sheet name="Q5" sheetId="5" r:id="rId5"/>
    <sheet name="Q6" sheetId="6" r:id="rId6"/>
    <sheet name="Q7" sheetId="7" r:id="rId7"/>
    <sheet name="Q8" sheetId="8" r:id="rId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8" i="8" l="1"/>
  <c r="D21" i="8"/>
  <c r="F14" i="8"/>
  <c r="F13" i="8"/>
  <c r="F49" i="7"/>
  <c r="F50" i="7"/>
  <c r="F48" i="7"/>
  <c r="E37" i="7"/>
  <c r="E29" i="7"/>
  <c r="E19" i="7"/>
  <c r="F12" i="7"/>
  <c r="F39" i="6"/>
  <c r="F32" i="6"/>
  <c r="F25" i="6"/>
  <c r="F18" i="6"/>
  <c r="F11" i="6"/>
</calcChain>
</file>

<file path=xl/sharedStrings.xml><?xml version="1.0" encoding="utf-8"?>
<sst xmlns="http://schemas.openxmlformats.org/spreadsheetml/2006/main" count="164" uniqueCount="107">
  <si>
    <t>ASSIGNMENT : Data Cleaning &amp; Essential 
Functions</t>
  </si>
  <si>
    <t>QUESTIONS:</t>
  </si>
  <si>
    <t>Q.1  What is data cleaning, and why is it important in data analysis?</t>
  </si>
  <si>
    <t>What are the potential consequences of analyzing unclean or messy data?</t>
  </si>
  <si>
    <t xml:space="preserve"> Explain the common steps involved in cleaning and organizing data.</t>
  </si>
  <si>
    <t>Sol:</t>
  </si>
  <si>
    <t>What is Data Cleaning:
Data cleaning (also called data cleansing or data preprocessing) is the process of detecting, correcting, or removing inaccurate, incomplete, duplicate, or irrelevant data from a dataset.
It ensures that the data is accurate, consistent, and ready for analysis.</t>
  </si>
  <si>
    <t>Why Is It Important in Data Analysis:
Data cleaning is critical because the quality of insights depends on the quality of the data — this is often summarized as “Garbage in, garbage out.”
Importance:
Accuracy: Clean data ensures that the results and models are correct and reliable.
Consistency: Prevents errors caused by inconsistent formats, units, or naming.
Efficiency: Reduces the time analysts spend fixing errors later in the process.
Better Decision-Making: Ensures that business or research conclusions are based on valid evidence.
Improved Model Performance: In machine learning, clean data improves prediction accuracy and reduces noise.</t>
  </si>
  <si>
    <t>Potential Consequences of Analyzing Unclean or Messy Data:
If data is not cleaned properly, it can lead to:
 Incorrect conclusions or insights (e.g., wrong trends or correlations).
 Faulty business decisions based on inaccurate analysis.
 Model errors in predictive analytics or machine learning.
 Wasted resources due to rework or poor-quality results.
 Loss of credibility in research or reports.</t>
  </si>
  <si>
    <t>Common Steps Involved in Cleaning and Organizing Data:
Data cleaning typically involves several systematic steps:
Step	
1. Data Inspection / Profiling	Examine:                                                                                                                                                                                             The data to identify errors, missing values, duplicates, or inconsistencies.
2. Handling Missing Data:	                                                                                                                                                             Decide whether to fill in missing values (imputation), remove affected rows, or use default values.
3. Removing Duplicates:	                                                                                                                                                                                  Detect and remove duplicate entries to avoid bias.
4. Correcting Errors:	                                                                                                                                                                                                        Fix typos, incorrect entries, or formatting issues (e.g., “NYC” vs. “New York”).
5. Standardizing Data Formats:	                                                                                                                                                                     Ensure consistent formats for dates, units, categories, etc.
6. Filtering Out Irrelevant Data:	                                                                                                                                                             Remove data that does not contribute to the analysis.
7. Data Type Conversion:	                                                                                                                                                                           Convert data to the appropriate types (e.g., strings to dates, text to numeric).
8. Validating Data Quality:                                                                                                                                                                 Recheck the dataset to confirm accuracy and completeness after cleaning</t>
  </si>
  <si>
    <t xml:space="preserve"> Q.2 How would you sort the following dataset first by "Department" (A-Z) and then by "Salary" (Largest to 
Smallest)? Write a step-by-step approach.</t>
  </si>
  <si>
    <t>Employee</t>
  </si>
  <si>
    <t xml:space="preserve"> Department</t>
  </si>
  <si>
    <t xml:space="preserve"> Salary</t>
  </si>
  <si>
    <t>Sonu</t>
  </si>
  <si>
    <t>Pranav</t>
  </si>
  <si>
    <t>Rahul</t>
  </si>
  <si>
    <t>IT</t>
  </si>
  <si>
    <t>HR</t>
  </si>
  <si>
    <t>Step bt step Approach:</t>
  </si>
  <si>
    <t>Select the whole table (including headers).
Data → Sort.
Add Level 1: Sort by = Department, Sort On = Values, Order = A to Z.
Add Level 2: Then by = Salary, Sort On = Values, Order = Largest to Smallest.
Click OK</t>
  </si>
  <si>
    <t>Q.3 Explain the use of text functions such as TRIM , LEFT, RIGHT, MID, and CONCAT in data cleaning</t>
  </si>
  <si>
    <t>The TRIM Function:
The TRIM() function in Excel removes all extra spaces from a text string, leaving only single spaces between words and no spaces at the beginning or end.                                                        SYNTAX  =TRIM()</t>
  </si>
  <si>
    <t>The LEFT Function :
The LEFT() function in Excel is used to extract a specific number of characters from the beginning (left side) of a text string.                                                                                                                                                               SYNTAX =LEFT(text, [num_chars])</t>
  </si>
  <si>
    <t>The RIGHT Function:
The RIGHT() function in Excel is used to extract a specific number of characters from the end (right side) of a text string.
It’s basically the opposite of the LEFT() function.                                                                                                                                             SYNTAX  =RIGHT(text, [num_chars])</t>
  </si>
  <si>
    <t xml:space="preserve">The MID Function:
The MID() function extracts a specific number of characters from the middle of a text string — starting at a position you choose.                                                                                                                                                                           SYNTAX =MID(text, start_num, num_chars)                                                                                                                                                                                               </t>
  </si>
  <si>
    <t>Q.4 What is the role of date functions like TODAY in managing datasets?</t>
  </si>
  <si>
    <t>Date functions in Excel are built-in formulas that help you create, manipulate, and analyze dates and times automatically.
Examples include:
TODAY()
NOW()
DATE()
YEAR(), MONTH(), DAY()
DATEDIF(), EDATE(), EOMONTH(), etc.</t>
  </si>
  <si>
    <t>The Role of TODAY() in Managing Datasets:
Automatically Shows the Current Date
Helps Track Data Freshness or Age
Automates Reports and Dashboards 
Supports Conditional Formatting
Useful for Time-Based Filters or Analysis</t>
  </si>
  <si>
    <t xml:space="preserve"> Q.5 Apply Data Validation to restrict Quantity values to only whole numbers between 1 and 10.
 A).Configure an input message that appears when a user selects a cell in the "Quantity" column explaining:
 "Please enter a whole number between 1 and 10."                                                                                                                                                                                                                               
                                                                                                                                                                                                                                                                         B).Set up an error alert message that triggers if the user enters a number less than 1 or greater than 10, 
showing:
 "Invalid input! The quantity must be a whole number between 1 and 10."</t>
  </si>
  <si>
    <t xml:space="preserve"> Customer Name</t>
  </si>
  <si>
    <t xml:space="preserve">Product Name
 </t>
  </si>
  <si>
    <t xml:space="preserve"> Category</t>
  </si>
  <si>
    <t>Quantity</t>
  </si>
  <si>
    <t xml:space="preserve"> Unit Price ($)</t>
  </si>
  <si>
    <t>Jane Smith</t>
  </si>
  <si>
    <t>Isabella Moore</t>
  </si>
  <si>
    <t xml:space="preserve"> Daniel Davis</t>
  </si>
  <si>
    <t>Alex Moore</t>
  </si>
  <si>
    <t>Michael Johnson</t>
  </si>
  <si>
    <t>Daniel Johnson</t>
  </si>
  <si>
    <t>Isabella Davis</t>
  </si>
  <si>
    <t xml:space="preserve"> Jane Davis</t>
  </si>
  <si>
    <t>Alex Wilson</t>
  </si>
  <si>
    <t>Shoes</t>
  </si>
  <si>
    <t>Laptop</t>
  </si>
  <si>
    <t>Sofa</t>
  </si>
  <si>
    <t>Table Lamp</t>
  </si>
  <si>
    <t>BackpacK</t>
  </si>
  <si>
    <t>Headphones</t>
  </si>
  <si>
    <t xml:space="preserve"> T-shirt</t>
  </si>
  <si>
    <t xml:space="preserve"> Electronics</t>
  </si>
  <si>
    <t>Electronics</t>
  </si>
  <si>
    <t xml:space="preserve"> Clothing</t>
  </si>
  <si>
    <t>Home Décor</t>
  </si>
  <si>
    <t>The step-by-step procedure:                                                                                                                        1.Select the cells under the Quantity column where you want to apply validation.
2.Go to the Data tab on the Ribbon.
3.Click Data Validation → Data Validation…
4.In the Settings tab:
    Set Allow to Whole number.
    Set Data to between.
    Enter Minimum = 1 and Maximum = 10.
5.In the Input Message tab:
   Check Show input message when cell is selected.
   Enter the message:
     “Please enter a whole number between 1 and 10.”
6.In the Error Alert tab:
   Set Style to Stop.
   Title: “Invalid input!”
   Error message:
    “The quantity must be a whole number between 1 and 10.”
7.Click OK to apply the settings.
8.Test the rule by trying to enter values below 1 or above 10.</t>
  </si>
  <si>
    <t>Q.6 Understand and apply fundamental text functions like LEFT, RIGHT, MID, and LEN.</t>
  </si>
  <si>
    <t>A).Extract the first 5 characters from the string "ExcelTipsAreGreat" using the LEFT function.</t>
  </si>
  <si>
    <t>ExcelTipsAreGreat</t>
  </si>
  <si>
    <t>B).Extract the last 4 characters from "DataAnalysis.xlsx" using the RIGHT function.</t>
  </si>
  <si>
    <t>DataAnalysis.xlsx</t>
  </si>
  <si>
    <t>C).Extract the substring "Tips" from "ExcelTipsAreGreat" using the MID function.</t>
  </si>
  <si>
    <t>D).Count the total number of characters in the string "Hello World!" using the LEN function</t>
  </si>
  <si>
    <t>Hello World!</t>
  </si>
  <si>
    <t xml:space="preserve"> E).Create a formula to extract the middle 6 characters from "12345-67890-ABCDE"</t>
  </si>
  <si>
    <t>12345-67890-ABCDE</t>
  </si>
  <si>
    <t>Q.7 Understand how to combine text using CONCAT, TEXTJOIN, and the &amp; operator.</t>
  </si>
  <si>
    <t>A).Use CONCAT to combine "Hello" and "World" with a space in between.</t>
  </si>
  <si>
    <t>Hello</t>
  </si>
  <si>
    <t>World</t>
  </si>
  <si>
    <t xml:space="preserve"> B).Combine "Apple", "Banana", and "Cherry" into a single string separated by commas using TEXTJOIN.</t>
  </si>
  <si>
    <t>Apple</t>
  </si>
  <si>
    <t>Banana</t>
  </si>
  <si>
    <t>Cherry</t>
  </si>
  <si>
    <t>C). Use the &amp; operator to create the string "2025: Excel Functions" by combining "2025", ": ", and "Excel 
Functions".</t>
  </si>
  <si>
    <t>Excel Functions</t>
  </si>
  <si>
    <t>D).Create a comma-separated list from the range A1:A5 using TEXTJOIN</t>
  </si>
  <si>
    <t>Mango</t>
  </si>
  <si>
    <t>Orange</t>
  </si>
  <si>
    <t>E). Combine first names in column A with last names in column B to create full names in column C.</t>
  </si>
  <si>
    <t>Virat</t>
  </si>
  <si>
    <t>Sachin</t>
  </si>
  <si>
    <t xml:space="preserve">Rohit </t>
  </si>
  <si>
    <t>Sharma</t>
  </si>
  <si>
    <t>Kohli</t>
  </si>
  <si>
    <t>Tendulkar</t>
  </si>
  <si>
    <t>Q.8  Understanding TODAY() and NOW()</t>
  </si>
  <si>
    <t>A).What is the difference between TODAY() and NOW() in Excel? Provide an example of when you would use each function.</t>
  </si>
  <si>
    <t>FUNCTION</t>
  </si>
  <si>
    <t>DESCRIPTION</t>
  </si>
  <si>
    <t>RETURNS</t>
  </si>
  <si>
    <t>TODAY()</t>
  </si>
  <si>
    <t>NOW()</t>
  </si>
  <si>
    <t>Returns the current date and time.</t>
  </si>
  <si>
    <t>Returns the current date.</t>
  </si>
  <si>
    <t>Date only</t>
  </si>
  <si>
    <t>Date and Time</t>
  </si>
  <si>
    <t>EXAMPLE</t>
  </si>
  <si>
    <t xml:space="preserve"> B).If cell A1 contains the date 2025-06-10, write a formula using TODAY() to determine how many days are left until that date</t>
  </si>
  <si>
    <t xml:space="preserve">C). Write an Excel formula using NOW() to display the current date and time in the format MM/DD/YYYY
 HH:MM AM/PM. </t>
  </si>
  <si>
    <t xml:space="preserve"> D).If a cell contains =TODAY(), what will happen when the worksheet is reopened the next day? Explain</t>
  </si>
  <si>
    <t xml:space="preserve">Behavior of =TODAY() in Excel
The TODAY() function always returns the current date based on your computer’s system clock.
When you reopen the worksheet the next day, Excel recalculates all formulas — including =TODAY() — and updates the value automatically.                                                                                                                                                                                 </t>
  </si>
  <si>
    <t xml:space="preserve"> E).You want to store a static date (today’s date) in a cell without it changing every day. What keyboard
 shortcut should you use?</t>
  </si>
  <si>
    <t>Ctrl + ;</t>
  </si>
  <si>
    <t>Ctrl + Shift + ;</t>
  </si>
  <si>
    <t>SHORTCUT</t>
  </si>
  <si>
    <t>The CONCAT Function:
The CONCAT() function in Excel joins (combines) text from two or more cells or strings into one single cell.
It’s commonly used to merge names, addresses, product codes, or other separated pieces of data.                                                                                                                                             SYNTAX =CONCAT(text1, [text2],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</si>
</sst>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14"/>
      <color theme="1"/>
      <name val="Calibri"/>
      <family val="2"/>
      <scheme val="minor"/>
    </font>
    <font>
      <sz val="28"/>
      <color theme="1"/>
      <name val="Calibri"/>
      <family val="2"/>
      <scheme val="minor"/>
    </font>
    <font>
      <b/>
      <sz val="11"/>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0" fillId="2" borderId="0" xfId="0" applyFill="1"/>
    <xf numFmtId="0" fontId="1" fillId="0" borderId="0" xfId="0" applyFont="1" applyAlignment="1">
      <alignment vertical="top"/>
    </xf>
    <xf numFmtId="0" fontId="1" fillId="3" borderId="0" xfId="0" applyFont="1" applyFill="1"/>
    <xf numFmtId="0" fontId="1" fillId="3" borderId="0" xfId="0" applyFont="1" applyFill="1" applyAlignment="1">
      <alignment vertical="top" wrapText="1"/>
    </xf>
    <xf numFmtId="0" fontId="1" fillId="3" borderId="0" xfId="0" applyFont="1" applyFill="1" applyAlignment="1">
      <alignment vertical="top"/>
    </xf>
    <xf numFmtId="0" fontId="0" fillId="4" borderId="0" xfId="0" applyFill="1"/>
    <xf numFmtId="0" fontId="1" fillId="4" borderId="0" xfId="0" applyFont="1" applyFill="1"/>
    <xf numFmtId="0" fontId="5" fillId="5" borderId="1" xfId="0" applyFont="1" applyFill="1" applyBorder="1" applyAlignment="1">
      <alignment horizontal="center"/>
    </xf>
    <xf numFmtId="0" fontId="1" fillId="4" borderId="1" xfId="0" applyFont="1" applyFill="1" applyBorder="1" applyAlignment="1">
      <alignment horizontal="center"/>
    </xf>
    <xf numFmtId="0" fontId="1" fillId="0" borderId="0" xfId="0" applyFont="1"/>
    <xf numFmtId="0" fontId="1" fillId="6" borderId="0" xfId="0" applyFont="1" applyFill="1"/>
    <xf numFmtId="0" fontId="4" fillId="4" borderId="1" xfId="0" applyFont="1" applyFill="1" applyBorder="1" applyAlignment="1">
      <alignment horizontal="center"/>
    </xf>
    <xf numFmtId="0" fontId="0" fillId="6" borderId="1" xfId="0" applyFill="1" applyBorder="1" applyAlignment="1">
      <alignment horizontal="center"/>
    </xf>
    <xf numFmtId="14" fontId="0" fillId="6" borderId="1" xfId="0" applyNumberFormat="1" applyFill="1" applyBorder="1" applyAlignment="1">
      <alignment horizontal="center"/>
    </xf>
    <xf numFmtId="22" fontId="0" fillId="6" borderId="1" xfId="0" applyNumberFormat="1" applyFill="1" applyBorder="1" applyAlignment="1">
      <alignment horizontal="center"/>
    </xf>
    <xf numFmtId="14" fontId="1" fillId="6" borderId="1" xfId="0" applyNumberFormat="1" applyFont="1" applyFill="1" applyBorder="1"/>
    <xf numFmtId="0" fontId="1" fillId="6" borderId="1" xfId="0" applyFont="1" applyFill="1" applyBorder="1"/>
    <xf numFmtId="20" fontId="1" fillId="6" borderId="1" xfId="0" applyNumberFormat="1" applyFont="1" applyFill="1" applyBorder="1"/>
    <xf numFmtId="14" fontId="1" fillId="4" borderId="1" xfId="0" applyNumberFormat="1" applyFont="1" applyFill="1" applyBorder="1"/>
    <xf numFmtId="0" fontId="1" fillId="2" borderId="1" xfId="0" applyFont="1" applyFill="1" applyBorder="1"/>
    <xf numFmtId="0" fontId="1" fillId="4" borderId="1" xfId="0" applyFont="1" applyFill="1" applyBorder="1"/>
    <xf numFmtId="0" fontId="1" fillId="3" borderId="0" xfId="0" applyFont="1" applyFill="1" applyAlignment="1">
      <alignment horizontal="left" vertical="top" wrapText="1"/>
    </xf>
    <xf numFmtId="0" fontId="1" fillId="2" borderId="0" xfId="0" applyFont="1" applyFill="1" applyAlignment="1">
      <alignment horizontal="left"/>
    </xf>
    <xf numFmtId="0" fontId="1" fillId="2" borderId="0" xfId="0" applyFont="1" applyFill="1" applyAlignment="1">
      <alignment horizontal="left" vertical="center"/>
    </xf>
    <xf numFmtId="0" fontId="1" fillId="3" borderId="0" xfId="0" applyFont="1" applyFill="1" applyAlignment="1">
      <alignment horizontal="left" vertical="center" wrapText="1"/>
    </xf>
    <xf numFmtId="0" fontId="1" fillId="2" borderId="0" xfId="0" applyFont="1" applyFill="1" applyAlignment="1">
      <alignment horizontal="left" vertical="top" wrapText="1"/>
    </xf>
    <xf numFmtId="0" fontId="1" fillId="11" borderId="0" xfId="0" applyFont="1" applyFill="1" applyAlignment="1">
      <alignment horizontal="left" vertical="top" wrapText="1"/>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0" fillId="8" borderId="0" xfId="0" applyFill="1" applyAlignment="1">
      <alignment horizontal="left" vertical="top" wrapText="1"/>
    </xf>
    <xf numFmtId="0" fontId="1" fillId="9" borderId="0" xfId="0" applyFont="1" applyFill="1" applyAlignment="1">
      <alignment horizontal="left" vertical="top" wrapText="1"/>
    </xf>
    <xf numFmtId="0" fontId="1" fillId="3" borderId="0" xfId="0" applyFont="1" applyFill="1" applyAlignment="1">
      <alignment horizontal="left" vertical="top"/>
    </xf>
    <xf numFmtId="0" fontId="1" fillId="3" borderId="0" xfId="0" applyFont="1" applyFill="1" applyAlignment="1">
      <alignment horizontal="left" vertical="top" wrapText="1" readingOrder="1"/>
    </xf>
    <xf numFmtId="0" fontId="1" fillId="2" borderId="0" xfId="0" applyFont="1" applyFill="1" applyAlignment="1">
      <alignment horizontal="left" vertical="top"/>
    </xf>
    <xf numFmtId="0" fontId="1" fillId="2" borderId="0" xfId="0" applyFont="1" applyFill="1" applyAlignment="1">
      <alignment horizontal="center" vertical="top"/>
    </xf>
    <xf numFmtId="0" fontId="1" fillId="6" borderId="0" xfId="0" applyFont="1" applyFill="1" applyAlignment="1">
      <alignment horizontal="left" vertical="top" wrapText="1"/>
    </xf>
    <xf numFmtId="0" fontId="1" fillId="12" borderId="0" xfId="0" applyFont="1" applyFill="1" applyAlignment="1">
      <alignment horizontal="left" vertical="top" wrapText="1"/>
    </xf>
    <xf numFmtId="0" fontId="1" fillId="12" borderId="0" xfId="0" applyFont="1" applyFill="1" applyAlignment="1">
      <alignment horizontal="left" vertical="top"/>
    </xf>
    <xf numFmtId="0" fontId="1" fillId="12" borderId="0" xfId="0" applyFont="1" applyFill="1"/>
    <xf numFmtId="0" fontId="0" fillId="12" borderId="0" xfId="0" applyFill="1"/>
    <xf numFmtId="0" fontId="5" fillId="12" borderId="1" xfId="0" applyFont="1" applyFill="1" applyBorder="1" applyAlignment="1">
      <alignment horizontal="center"/>
    </xf>
    <xf numFmtId="0" fontId="1" fillId="12" borderId="1" xfId="0" applyFont="1" applyFill="1" applyBorder="1" applyAlignment="1">
      <alignment horizontal="center"/>
    </xf>
    <xf numFmtId="0" fontId="0" fillId="12" borderId="0" xfId="0" applyFill="1" applyAlignment="1">
      <alignment horizontal="left" vertical="top"/>
    </xf>
    <xf numFmtId="0" fontId="3" fillId="12" borderId="0" xfId="0" applyFont="1" applyFill="1" applyAlignment="1">
      <alignment horizontal="center" vertical="center"/>
    </xf>
    <xf numFmtId="0" fontId="2" fillId="12" borderId="0" xfId="0" applyFont="1" applyFill="1" applyAlignment="1">
      <alignment horizontal="center" vertical="center"/>
    </xf>
    <xf numFmtId="0" fontId="0" fillId="12" borderId="0" xfId="0" applyFill="1" applyAlignment="1">
      <alignment horizontal="center" vertical="center"/>
    </xf>
    <xf numFmtId="0" fontId="1" fillId="1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8D247-35E2-4502-9898-7E5A021FC4C2}">
  <dimension ref="E3:U78"/>
  <sheetViews>
    <sheetView topLeftCell="A58" workbookViewId="0">
      <selection activeCell="E12" sqref="E12:M12"/>
    </sheetView>
  </sheetViews>
  <sheetFormatPr defaultRowHeight="14.4" x14ac:dyDescent="0.3"/>
  <sheetData>
    <row r="3" spans="5:21" x14ac:dyDescent="0.3">
      <c r="E3" s="46" t="s">
        <v>0</v>
      </c>
      <c r="F3" s="46"/>
      <c r="G3" s="46"/>
      <c r="H3" s="46"/>
      <c r="I3" s="46"/>
      <c r="J3" s="46"/>
      <c r="K3" s="46"/>
      <c r="L3" s="46"/>
      <c r="M3" s="46"/>
      <c r="N3" s="46"/>
      <c r="O3" s="46"/>
      <c r="P3" s="46"/>
      <c r="Q3" s="46"/>
      <c r="R3" s="46"/>
      <c r="S3" s="46"/>
      <c r="T3" s="46"/>
      <c r="U3" s="46"/>
    </row>
    <row r="4" spans="5:21" x14ac:dyDescent="0.3">
      <c r="E4" s="46"/>
      <c r="F4" s="46"/>
      <c r="G4" s="46"/>
      <c r="H4" s="46"/>
      <c r="I4" s="46"/>
      <c r="J4" s="46"/>
      <c r="K4" s="46"/>
      <c r="L4" s="46"/>
      <c r="M4" s="46"/>
      <c r="N4" s="46"/>
      <c r="O4" s="46"/>
      <c r="P4" s="46"/>
      <c r="Q4" s="46"/>
      <c r="R4" s="46"/>
      <c r="S4" s="46"/>
      <c r="T4" s="46"/>
      <c r="U4" s="46"/>
    </row>
    <row r="7" spans="5:21" x14ac:dyDescent="0.3">
      <c r="E7" s="47" t="s">
        <v>1</v>
      </c>
      <c r="F7" s="48"/>
      <c r="G7" s="48"/>
      <c r="H7" s="48"/>
      <c r="I7" s="48"/>
      <c r="J7" s="48"/>
      <c r="K7" s="48"/>
      <c r="L7" s="48"/>
      <c r="M7" s="48"/>
      <c r="N7" s="48"/>
      <c r="O7" s="48"/>
      <c r="P7" s="48"/>
      <c r="Q7" s="48"/>
      <c r="R7" s="48"/>
    </row>
    <row r="8" spans="5:21" x14ac:dyDescent="0.3">
      <c r="E8" s="48"/>
      <c r="F8" s="48"/>
      <c r="G8" s="48"/>
      <c r="H8" s="48"/>
      <c r="I8" s="48"/>
      <c r="J8" s="48"/>
      <c r="K8" s="48"/>
      <c r="L8" s="48"/>
      <c r="M8" s="48"/>
      <c r="N8" s="48"/>
      <c r="O8" s="48"/>
      <c r="P8" s="48"/>
      <c r="Q8" s="48"/>
      <c r="R8" s="48"/>
    </row>
    <row r="11" spans="5:21" ht="15.6" x14ac:dyDescent="0.3">
      <c r="E11" s="23" t="s">
        <v>2</v>
      </c>
      <c r="F11" s="23"/>
      <c r="G11" s="23"/>
      <c r="H11" s="23"/>
      <c r="I11" s="23"/>
      <c r="J11" s="23"/>
      <c r="K11" s="23"/>
      <c r="L11" s="23"/>
      <c r="M11" s="23"/>
      <c r="N11" s="23"/>
      <c r="O11" s="23"/>
      <c r="P11" s="23"/>
      <c r="Q11" s="23"/>
      <c r="R11" s="23"/>
      <c r="S11" s="23"/>
      <c r="T11" s="23"/>
      <c r="U11" s="23"/>
    </row>
    <row r="12" spans="5:21" ht="15.6" x14ac:dyDescent="0.3">
      <c r="E12" s="24" t="s">
        <v>3</v>
      </c>
      <c r="F12" s="24"/>
      <c r="G12" s="24"/>
      <c r="H12" s="24"/>
      <c r="I12" s="24"/>
      <c r="J12" s="24"/>
      <c r="K12" s="24"/>
      <c r="L12" s="24"/>
      <c r="M12" s="24"/>
      <c r="N12" s="1"/>
      <c r="O12" s="1"/>
      <c r="P12" s="1"/>
      <c r="Q12" s="1"/>
      <c r="R12" s="1"/>
      <c r="S12" s="1"/>
      <c r="T12" s="1"/>
      <c r="U12" s="1"/>
    </row>
    <row r="13" spans="5:21" ht="15.6" x14ac:dyDescent="0.3">
      <c r="E13" s="24" t="s">
        <v>4</v>
      </c>
      <c r="F13" s="24"/>
      <c r="G13" s="24"/>
      <c r="H13" s="24"/>
      <c r="I13" s="24"/>
      <c r="J13" s="24"/>
      <c r="K13" s="24"/>
      <c r="L13" s="24"/>
      <c r="M13" s="24"/>
      <c r="N13" s="24"/>
      <c r="O13" s="24"/>
      <c r="P13" s="1"/>
      <c r="Q13" s="1"/>
      <c r="R13" s="1"/>
      <c r="S13" s="1"/>
      <c r="T13" s="1"/>
      <c r="U13" s="1"/>
    </row>
    <row r="16" spans="5:21" ht="15.6" x14ac:dyDescent="0.3">
      <c r="E16" s="3" t="s">
        <v>5</v>
      </c>
      <c r="F16" s="3"/>
      <c r="G16" s="3"/>
      <c r="H16" s="3"/>
      <c r="I16" s="3"/>
      <c r="J16" s="3"/>
      <c r="K16" s="3"/>
      <c r="L16" s="3"/>
      <c r="M16" s="3"/>
      <c r="N16" s="3"/>
      <c r="O16" s="3"/>
      <c r="P16" s="3"/>
      <c r="Q16" s="3"/>
      <c r="R16" s="3"/>
      <c r="S16" s="3"/>
    </row>
    <row r="17" spans="5:19" x14ac:dyDescent="0.3">
      <c r="E17" s="25" t="s">
        <v>6</v>
      </c>
      <c r="F17" s="25"/>
      <c r="G17" s="25"/>
      <c r="H17" s="25"/>
      <c r="I17" s="25"/>
      <c r="J17" s="25"/>
      <c r="K17" s="25"/>
      <c r="L17" s="25"/>
      <c r="M17" s="25"/>
      <c r="N17" s="25"/>
      <c r="O17" s="25"/>
      <c r="P17" s="25"/>
      <c r="Q17" s="25"/>
      <c r="R17" s="25"/>
      <c r="S17" s="25"/>
    </row>
    <row r="18" spans="5:19" x14ac:dyDescent="0.3">
      <c r="E18" s="25"/>
      <c r="F18" s="25"/>
      <c r="G18" s="25"/>
      <c r="H18" s="25"/>
      <c r="I18" s="25"/>
      <c r="J18" s="25"/>
      <c r="K18" s="25"/>
      <c r="L18" s="25"/>
      <c r="M18" s="25"/>
      <c r="N18" s="25"/>
      <c r="O18" s="25"/>
      <c r="P18" s="25"/>
      <c r="Q18" s="25"/>
      <c r="R18" s="25"/>
      <c r="S18" s="25"/>
    </row>
    <row r="19" spans="5:19" x14ac:dyDescent="0.3">
      <c r="E19" s="25"/>
      <c r="F19" s="25"/>
      <c r="G19" s="25"/>
      <c r="H19" s="25"/>
      <c r="I19" s="25"/>
      <c r="J19" s="25"/>
      <c r="K19" s="25"/>
      <c r="L19" s="25"/>
      <c r="M19" s="25"/>
      <c r="N19" s="25"/>
      <c r="O19" s="25"/>
      <c r="P19" s="25"/>
      <c r="Q19" s="25"/>
      <c r="R19" s="25"/>
      <c r="S19" s="25"/>
    </row>
    <row r="20" spans="5:19" x14ac:dyDescent="0.3">
      <c r="E20" s="25"/>
      <c r="F20" s="25"/>
      <c r="G20" s="25"/>
      <c r="H20" s="25"/>
      <c r="I20" s="25"/>
      <c r="J20" s="25"/>
      <c r="K20" s="25"/>
      <c r="L20" s="25"/>
      <c r="M20" s="25"/>
      <c r="N20" s="25"/>
      <c r="O20" s="25"/>
      <c r="P20" s="25"/>
      <c r="Q20" s="25"/>
      <c r="R20" s="25"/>
      <c r="S20" s="25"/>
    </row>
    <row r="21" spans="5:19" ht="15.6" x14ac:dyDescent="0.3">
      <c r="E21" s="3"/>
      <c r="F21" s="3"/>
      <c r="G21" s="3"/>
      <c r="H21" s="3"/>
      <c r="I21" s="3"/>
      <c r="J21" s="3"/>
      <c r="K21" s="3"/>
      <c r="L21" s="3"/>
      <c r="M21" s="3"/>
      <c r="N21" s="3"/>
      <c r="O21" s="3"/>
      <c r="P21" s="3"/>
      <c r="Q21" s="3"/>
      <c r="R21" s="3"/>
      <c r="S21" s="3"/>
    </row>
    <row r="22" spans="5:19" x14ac:dyDescent="0.3">
      <c r="E22" s="22" t="s">
        <v>7</v>
      </c>
      <c r="F22" s="22"/>
      <c r="G22" s="22"/>
      <c r="H22" s="22"/>
      <c r="I22" s="22"/>
      <c r="J22" s="22"/>
      <c r="K22" s="22"/>
      <c r="L22" s="22"/>
      <c r="M22" s="22"/>
      <c r="N22" s="22"/>
      <c r="O22" s="22"/>
      <c r="P22" s="22"/>
      <c r="Q22" s="22"/>
      <c r="R22" s="22"/>
      <c r="S22" s="22"/>
    </row>
    <row r="23" spans="5:19" x14ac:dyDescent="0.3">
      <c r="E23" s="22"/>
      <c r="F23" s="22"/>
      <c r="G23" s="22"/>
      <c r="H23" s="22"/>
      <c r="I23" s="22"/>
      <c r="J23" s="22"/>
      <c r="K23" s="22"/>
      <c r="L23" s="22"/>
      <c r="M23" s="22"/>
      <c r="N23" s="22"/>
      <c r="O23" s="22"/>
      <c r="P23" s="22"/>
      <c r="Q23" s="22"/>
      <c r="R23" s="22"/>
      <c r="S23" s="22"/>
    </row>
    <row r="24" spans="5:19" x14ac:dyDescent="0.3">
      <c r="E24" s="22"/>
      <c r="F24" s="22"/>
      <c r="G24" s="22"/>
      <c r="H24" s="22"/>
      <c r="I24" s="22"/>
      <c r="J24" s="22"/>
      <c r="K24" s="22"/>
      <c r="L24" s="22"/>
      <c r="M24" s="22"/>
      <c r="N24" s="22"/>
      <c r="O24" s="22"/>
      <c r="P24" s="22"/>
      <c r="Q24" s="22"/>
      <c r="R24" s="22"/>
      <c r="S24" s="22"/>
    </row>
    <row r="25" spans="5:19" x14ac:dyDescent="0.3">
      <c r="E25" s="22"/>
      <c r="F25" s="22"/>
      <c r="G25" s="22"/>
      <c r="H25" s="22"/>
      <c r="I25" s="22"/>
      <c r="J25" s="22"/>
      <c r="K25" s="22"/>
      <c r="L25" s="22"/>
      <c r="M25" s="22"/>
      <c r="N25" s="22"/>
      <c r="O25" s="22"/>
      <c r="P25" s="22"/>
      <c r="Q25" s="22"/>
      <c r="R25" s="22"/>
      <c r="S25" s="22"/>
    </row>
    <row r="26" spans="5:19" x14ac:dyDescent="0.3">
      <c r="E26" s="22"/>
      <c r="F26" s="22"/>
      <c r="G26" s="22"/>
      <c r="H26" s="22"/>
      <c r="I26" s="22"/>
      <c r="J26" s="22"/>
      <c r="K26" s="22"/>
      <c r="L26" s="22"/>
      <c r="M26" s="22"/>
      <c r="N26" s="22"/>
      <c r="O26" s="22"/>
      <c r="P26" s="22"/>
      <c r="Q26" s="22"/>
      <c r="R26" s="22"/>
      <c r="S26" s="22"/>
    </row>
    <row r="27" spans="5:19" x14ac:dyDescent="0.3">
      <c r="E27" s="22"/>
      <c r="F27" s="22"/>
      <c r="G27" s="22"/>
      <c r="H27" s="22"/>
      <c r="I27" s="22"/>
      <c r="J27" s="22"/>
      <c r="K27" s="22"/>
      <c r="L27" s="22"/>
      <c r="M27" s="22"/>
      <c r="N27" s="22"/>
      <c r="O27" s="22"/>
      <c r="P27" s="22"/>
      <c r="Q27" s="22"/>
      <c r="R27" s="22"/>
      <c r="S27" s="22"/>
    </row>
    <row r="28" spans="5:19" x14ac:dyDescent="0.3">
      <c r="E28" s="22"/>
      <c r="F28" s="22"/>
      <c r="G28" s="22"/>
      <c r="H28" s="22"/>
      <c r="I28" s="22"/>
      <c r="J28" s="22"/>
      <c r="K28" s="22"/>
      <c r="L28" s="22"/>
      <c r="M28" s="22"/>
      <c r="N28" s="22"/>
      <c r="O28" s="22"/>
      <c r="P28" s="22"/>
      <c r="Q28" s="22"/>
      <c r="R28" s="22"/>
      <c r="S28" s="22"/>
    </row>
    <row r="29" spans="5:19" x14ac:dyDescent="0.3">
      <c r="E29" s="22"/>
      <c r="F29" s="22"/>
      <c r="G29" s="22"/>
      <c r="H29" s="22"/>
      <c r="I29" s="22"/>
      <c r="J29" s="22"/>
      <c r="K29" s="22"/>
      <c r="L29" s="22"/>
      <c r="M29" s="22"/>
      <c r="N29" s="22"/>
      <c r="O29" s="22"/>
      <c r="P29" s="22"/>
      <c r="Q29" s="22"/>
      <c r="R29" s="22"/>
      <c r="S29" s="22"/>
    </row>
    <row r="30" spans="5:19" x14ac:dyDescent="0.3">
      <c r="E30" s="22"/>
      <c r="F30" s="22"/>
      <c r="G30" s="22"/>
      <c r="H30" s="22"/>
      <c r="I30" s="22"/>
      <c r="J30" s="22"/>
      <c r="K30" s="22"/>
      <c r="L30" s="22"/>
      <c r="M30" s="22"/>
      <c r="N30" s="22"/>
      <c r="O30" s="22"/>
      <c r="P30" s="22"/>
      <c r="Q30" s="22"/>
      <c r="R30" s="22"/>
      <c r="S30" s="22"/>
    </row>
    <row r="31" spans="5:19" x14ac:dyDescent="0.3">
      <c r="E31" s="22"/>
      <c r="F31" s="22"/>
      <c r="G31" s="22"/>
      <c r="H31" s="22"/>
      <c r="I31" s="22"/>
      <c r="J31" s="22"/>
      <c r="K31" s="22"/>
      <c r="L31" s="22"/>
      <c r="M31" s="22"/>
      <c r="N31" s="22"/>
      <c r="O31" s="22"/>
      <c r="P31" s="22"/>
      <c r="Q31" s="22"/>
      <c r="R31" s="22"/>
      <c r="S31" s="22"/>
    </row>
    <row r="32" spans="5:19" x14ac:dyDescent="0.3">
      <c r="E32" s="22"/>
      <c r="F32" s="22"/>
      <c r="G32" s="22"/>
      <c r="H32" s="22"/>
      <c r="I32" s="22"/>
      <c r="J32" s="22"/>
      <c r="K32" s="22"/>
      <c r="L32" s="22"/>
      <c r="M32" s="22"/>
      <c r="N32" s="22"/>
      <c r="O32" s="22"/>
      <c r="P32" s="22"/>
      <c r="Q32" s="22"/>
      <c r="R32" s="22"/>
      <c r="S32" s="22"/>
    </row>
    <row r="33" spans="5:19" x14ac:dyDescent="0.3">
      <c r="E33" s="22"/>
      <c r="F33" s="22"/>
      <c r="G33" s="22"/>
      <c r="H33" s="22"/>
      <c r="I33" s="22"/>
      <c r="J33" s="22"/>
      <c r="K33" s="22"/>
      <c r="L33" s="22"/>
      <c r="M33" s="22"/>
      <c r="N33" s="22"/>
      <c r="O33" s="22"/>
      <c r="P33" s="22"/>
      <c r="Q33" s="22"/>
      <c r="R33" s="22"/>
      <c r="S33" s="22"/>
    </row>
    <row r="34" spans="5:19" ht="14.4" customHeight="1" x14ac:dyDescent="0.3">
      <c r="E34" s="22" t="s">
        <v>8</v>
      </c>
      <c r="F34" s="22"/>
      <c r="G34" s="22"/>
      <c r="H34" s="22"/>
      <c r="I34" s="22"/>
      <c r="J34" s="22"/>
      <c r="K34" s="22"/>
      <c r="L34" s="22"/>
      <c r="M34" s="22"/>
      <c r="N34" s="22"/>
      <c r="O34" s="22"/>
      <c r="P34" s="22"/>
      <c r="Q34" s="22"/>
      <c r="R34" s="4"/>
      <c r="S34" s="3"/>
    </row>
    <row r="35" spans="5:19" ht="14.4" customHeight="1" x14ac:dyDescent="0.3">
      <c r="E35" s="22"/>
      <c r="F35" s="22"/>
      <c r="G35" s="22"/>
      <c r="H35" s="22"/>
      <c r="I35" s="22"/>
      <c r="J35" s="22"/>
      <c r="K35" s="22"/>
      <c r="L35" s="22"/>
      <c r="M35" s="22"/>
      <c r="N35" s="22"/>
      <c r="O35" s="22"/>
      <c r="P35" s="22"/>
      <c r="Q35" s="22"/>
      <c r="R35" s="4"/>
      <c r="S35" s="3"/>
    </row>
    <row r="36" spans="5:19" ht="14.4" customHeight="1" x14ac:dyDescent="0.3">
      <c r="E36" s="22"/>
      <c r="F36" s="22"/>
      <c r="G36" s="22"/>
      <c r="H36" s="22"/>
      <c r="I36" s="22"/>
      <c r="J36" s="22"/>
      <c r="K36" s="22"/>
      <c r="L36" s="22"/>
      <c r="M36" s="22"/>
      <c r="N36" s="22"/>
      <c r="O36" s="22"/>
      <c r="P36" s="22"/>
      <c r="Q36" s="22"/>
      <c r="R36" s="4"/>
      <c r="S36" s="3"/>
    </row>
    <row r="37" spans="5:19" ht="14.4" customHeight="1" x14ac:dyDescent="0.3">
      <c r="E37" s="22"/>
      <c r="F37" s="22"/>
      <c r="G37" s="22"/>
      <c r="H37" s="22"/>
      <c r="I37" s="22"/>
      <c r="J37" s="22"/>
      <c r="K37" s="22"/>
      <c r="L37" s="22"/>
      <c r="M37" s="22"/>
      <c r="N37" s="22"/>
      <c r="O37" s="22"/>
      <c r="P37" s="22"/>
      <c r="Q37" s="22"/>
      <c r="R37" s="4"/>
      <c r="S37" s="3"/>
    </row>
    <row r="38" spans="5:19" ht="14.4" customHeight="1" x14ac:dyDescent="0.3">
      <c r="E38" s="22"/>
      <c r="F38" s="22"/>
      <c r="G38" s="22"/>
      <c r="H38" s="22"/>
      <c r="I38" s="22"/>
      <c r="J38" s="22"/>
      <c r="K38" s="22"/>
      <c r="L38" s="22"/>
      <c r="M38" s="22"/>
      <c r="N38" s="22"/>
      <c r="O38" s="22"/>
      <c r="P38" s="22"/>
      <c r="Q38" s="22"/>
      <c r="R38" s="4"/>
      <c r="S38" s="3"/>
    </row>
    <row r="39" spans="5:19" ht="14.4" customHeight="1" x14ac:dyDescent="0.3">
      <c r="E39" s="22"/>
      <c r="F39" s="22"/>
      <c r="G39" s="22"/>
      <c r="H39" s="22"/>
      <c r="I39" s="22"/>
      <c r="J39" s="22"/>
      <c r="K39" s="22"/>
      <c r="L39" s="22"/>
      <c r="M39" s="22"/>
      <c r="N39" s="22"/>
      <c r="O39" s="22"/>
      <c r="P39" s="22"/>
      <c r="Q39" s="22"/>
      <c r="R39" s="4"/>
      <c r="S39" s="3"/>
    </row>
    <row r="40" spans="5:19" ht="14.4" customHeight="1" x14ac:dyDescent="0.3">
      <c r="E40" s="22"/>
      <c r="F40" s="22"/>
      <c r="G40" s="22"/>
      <c r="H40" s="22"/>
      <c r="I40" s="22"/>
      <c r="J40" s="22"/>
      <c r="K40" s="22"/>
      <c r="L40" s="22"/>
      <c r="M40" s="22"/>
      <c r="N40" s="22"/>
      <c r="O40" s="22"/>
      <c r="P40" s="22"/>
      <c r="Q40" s="22"/>
      <c r="R40" s="4"/>
      <c r="S40" s="3"/>
    </row>
    <row r="41" spans="5:19" ht="14.4" customHeight="1" x14ac:dyDescent="0.3">
      <c r="E41" s="22"/>
      <c r="F41" s="22"/>
      <c r="G41" s="22"/>
      <c r="H41" s="22"/>
      <c r="I41" s="22"/>
      <c r="J41" s="22"/>
      <c r="K41" s="22"/>
      <c r="L41" s="22"/>
      <c r="M41" s="22"/>
      <c r="N41" s="22"/>
      <c r="O41" s="22"/>
      <c r="P41" s="22"/>
      <c r="Q41" s="22"/>
      <c r="R41" s="4"/>
      <c r="S41" s="3"/>
    </row>
    <row r="42" spans="5:19" ht="14.4" customHeight="1" x14ac:dyDescent="0.3">
      <c r="E42" s="22"/>
      <c r="F42" s="22"/>
      <c r="G42" s="22"/>
      <c r="H42" s="22"/>
      <c r="I42" s="22"/>
      <c r="J42" s="22"/>
      <c r="K42" s="22"/>
      <c r="L42" s="22"/>
      <c r="M42" s="22"/>
      <c r="N42" s="22"/>
      <c r="O42" s="22"/>
      <c r="P42" s="22"/>
      <c r="Q42" s="22"/>
      <c r="R42" s="4"/>
      <c r="S42" s="3"/>
    </row>
    <row r="43" spans="5:19" ht="14.4" customHeight="1" x14ac:dyDescent="0.3">
      <c r="E43" s="22"/>
      <c r="F43" s="22"/>
      <c r="G43" s="22"/>
      <c r="H43" s="22"/>
      <c r="I43" s="22"/>
      <c r="J43" s="22"/>
      <c r="K43" s="22"/>
      <c r="L43" s="22"/>
      <c r="M43" s="22"/>
      <c r="N43" s="22"/>
      <c r="O43" s="22"/>
      <c r="P43" s="22"/>
      <c r="Q43" s="22"/>
      <c r="R43" s="4"/>
      <c r="S43" s="3"/>
    </row>
    <row r="44" spans="5:19" ht="14.4" customHeight="1" x14ac:dyDescent="0.3">
      <c r="E44" s="22"/>
      <c r="F44" s="22"/>
      <c r="G44" s="22"/>
      <c r="H44" s="22"/>
      <c r="I44" s="22"/>
      <c r="J44" s="22"/>
      <c r="K44" s="22"/>
      <c r="L44" s="22"/>
      <c r="M44" s="22"/>
      <c r="N44" s="22"/>
      <c r="O44" s="22"/>
      <c r="P44" s="22"/>
      <c r="Q44" s="22"/>
      <c r="R44" s="4"/>
      <c r="S44" s="3"/>
    </row>
    <row r="45" spans="5:19" ht="14.4" customHeight="1" x14ac:dyDescent="0.3">
      <c r="E45" s="4"/>
      <c r="F45" s="4"/>
      <c r="G45" s="4"/>
      <c r="H45" s="4"/>
      <c r="I45" s="4"/>
      <c r="J45" s="4"/>
      <c r="K45" s="4"/>
      <c r="L45" s="4"/>
      <c r="M45" s="4"/>
      <c r="N45" s="4"/>
      <c r="O45" s="4"/>
      <c r="P45" s="4"/>
      <c r="Q45" s="4"/>
      <c r="R45" s="4"/>
      <c r="S45" s="3"/>
    </row>
    <row r="46" spans="5:19" ht="14.4" customHeight="1" x14ac:dyDescent="0.3">
      <c r="E46" s="4"/>
      <c r="F46" s="4"/>
      <c r="G46" s="4"/>
      <c r="H46" s="4"/>
      <c r="I46" s="4"/>
      <c r="J46" s="4"/>
      <c r="K46" s="4"/>
      <c r="L46" s="4"/>
      <c r="M46" s="4"/>
      <c r="N46" s="4"/>
      <c r="O46" s="4"/>
      <c r="P46" s="4"/>
      <c r="Q46" s="4"/>
      <c r="R46" s="4"/>
      <c r="S46" s="3"/>
    </row>
    <row r="47" spans="5:19" ht="14.4" customHeight="1" x14ac:dyDescent="0.3">
      <c r="E47" s="22" t="s">
        <v>9</v>
      </c>
      <c r="F47" s="22"/>
      <c r="G47" s="22"/>
      <c r="H47" s="22"/>
      <c r="I47" s="22"/>
      <c r="J47" s="22"/>
      <c r="K47" s="22"/>
      <c r="L47" s="22"/>
      <c r="M47" s="22"/>
      <c r="N47" s="22"/>
      <c r="O47" s="22"/>
      <c r="P47" s="4"/>
      <c r="Q47" s="5"/>
      <c r="R47" s="3"/>
      <c r="S47" s="3"/>
    </row>
    <row r="48" spans="5:19" ht="14.4" customHeight="1" x14ac:dyDescent="0.3">
      <c r="E48" s="22"/>
      <c r="F48" s="22"/>
      <c r="G48" s="22"/>
      <c r="H48" s="22"/>
      <c r="I48" s="22"/>
      <c r="J48" s="22"/>
      <c r="K48" s="22"/>
      <c r="L48" s="22"/>
      <c r="M48" s="22"/>
      <c r="N48" s="22"/>
      <c r="O48" s="22"/>
      <c r="P48" s="4"/>
      <c r="Q48" s="5"/>
      <c r="R48" s="3"/>
      <c r="S48" s="3"/>
    </row>
    <row r="49" spans="5:19" ht="14.4" customHeight="1" x14ac:dyDescent="0.3">
      <c r="E49" s="22"/>
      <c r="F49" s="22"/>
      <c r="G49" s="22"/>
      <c r="H49" s="22"/>
      <c r="I49" s="22"/>
      <c r="J49" s="22"/>
      <c r="K49" s="22"/>
      <c r="L49" s="22"/>
      <c r="M49" s="22"/>
      <c r="N49" s="22"/>
      <c r="O49" s="22"/>
      <c r="P49" s="4"/>
      <c r="Q49" s="5"/>
      <c r="R49" s="3"/>
      <c r="S49" s="3"/>
    </row>
    <row r="50" spans="5:19" ht="14.4" customHeight="1" x14ac:dyDescent="0.3">
      <c r="E50" s="22"/>
      <c r="F50" s="22"/>
      <c r="G50" s="22"/>
      <c r="H50" s="22"/>
      <c r="I50" s="22"/>
      <c r="J50" s="22"/>
      <c r="K50" s="22"/>
      <c r="L50" s="22"/>
      <c r="M50" s="22"/>
      <c r="N50" s="22"/>
      <c r="O50" s="22"/>
      <c r="P50" s="4"/>
      <c r="Q50" s="5"/>
      <c r="R50" s="3"/>
      <c r="S50" s="3"/>
    </row>
    <row r="51" spans="5:19" ht="14.4" customHeight="1" x14ac:dyDescent="0.3">
      <c r="E51" s="22"/>
      <c r="F51" s="22"/>
      <c r="G51" s="22"/>
      <c r="H51" s="22"/>
      <c r="I51" s="22"/>
      <c r="J51" s="22"/>
      <c r="K51" s="22"/>
      <c r="L51" s="22"/>
      <c r="M51" s="22"/>
      <c r="N51" s="22"/>
      <c r="O51" s="22"/>
      <c r="P51" s="4"/>
      <c r="Q51" s="5"/>
      <c r="R51" s="3"/>
      <c r="S51" s="3"/>
    </row>
    <row r="52" spans="5:19" ht="14.4" customHeight="1" x14ac:dyDescent="0.3">
      <c r="E52" s="22"/>
      <c r="F52" s="22"/>
      <c r="G52" s="22"/>
      <c r="H52" s="22"/>
      <c r="I52" s="22"/>
      <c r="J52" s="22"/>
      <c r="K52" s="22"/>
      <c r="L52" s="22"/>
      <c r="M52" s="22"/>
      <c r="N52" s="22"/>
      <c r="O52" s="22"/>
      <c r="P52" s="4"/>
      <c r="Q52" s="5"/>
      <c r="R52" s="3"/>
      <c r="S52" s="3"/>
    </row>
    <row r="53" spans="5:19" ht="14.4" customHeight="1" x14ac:dyDescent="0.3">
      <c r="E53" s="22"/>
      <c r="F53" s="22"/>
      <c r="G53" s="22"/>
      <c r="H53" s="22"/>
      <c r="I53" s="22"/>
      <c r="J53" s="22"/>
      <c r="K53" s="22"/>
      <c r="L53" s="22"/>
      <c r="M53" s="22"/>
      <c r="N53" s="22"/>
      <c r="O53" s="22"/>
      <c r="P53" s="4"/>
      <c r="Q53" s="5"/>
      <c r="R53" s="3"/>
      <c r="S53" s="3"/>
    </row>
    <row r="54" spans="5:19" ht="14.4" customHeight="1" x14ac:dyDescent="0.3">
      <c r="E54" s="22"/>
      <c r="F54" s="22"/>
      <c r="G54" s="22"/>
      <c r="H54" s="22"/>
      <c r="I54" s="22"/>
      <c r="J54" s="22"/>
      <c r="K54" s="22"/>
      <c r="L54" s="22"/>
      <c r="M54" s="22"/>
      <c r="N54" s="22"/>
      <c r="O54" s="22"/>
      <c r="P54" s="4"/>
      <c r="Q54" s="5"/>
      <c r="R54" s="3"/>
      <c r="S54" s="3"/>
    </row>
    <row r="55" spans="5:19" ht="14.4" customHeight="1" x14ac:dyDescent="0.3">
      <c r="E55" s="22"/>
      <c r="F55" s="22"/>
      <c r="G55" s="22"/>
      <c r="H55" s="22"/>
      <c r="I55" s="22"/>
      <c r="J55" s="22"/>
      <c r="K55" s="22"/>
      <c r="L55" s="22"/>
      <c r="M55" s="22"/>
      <c r="N55" s="22"/>
      <c r="O55" s="22"/>
      <c r="P55" s="4"/>
      <c r="Q55" s="5"/>
      <c r="R55" s="3"/>
      <c r="S55" s="3"/>
    </row>
    <row r="56" spans="5:19" ht="14.4" customHeight="1" x14ac:dyDescent="0.3">
      <c r="E56" s="22"/>
      <c r="F56" s="22"/>
      <c r="G56" s="22"/>
      <c r="H56" s="22"/>
      <c r="I56" s="22"/>
      <c r="J56" s="22"/>
      <c r="K56" s="22"/>
      <c r="L56" s="22"/>
      <c r="M56" s="22"/>
      <c r="N56" s="22"/>
      <c r="O56" s="22"/>
      <c r="P56" s="4"/>
      <c r="Q56" s="5"/>
      <c r="R56" s="3"/>
      <c r="S56" s="3"/>
    </row>
    <row r="57" spans="5:19" ht="14.4" customHeight="1" x14ac:dyDescent="0.3">
      <c r="E57" s="22"/>
      <c r="F57" s="22"/>
      <c r="G57" s="22"/>
      <c r="H57" s="22"/>
      <c r="I57" s="22"/>
      <c r="J57" s="22"/>
      <c r="K57" s="22"/>
      <c r="L57" s="22"/>
      <c r="M57" s="22"/>
      <c r="N57" s="22"/>
      <c r="O57" s="22"/>
      <c r="P57" s="4"/>
      <c r="Q57" s="5"/>
      <c r="R57" s="3"/>
      <c r="S57" s="3"/>
    </row>
    <row r="58" spans="5:19" ht="14.4" customHeight="1" x14ac:dyDescent="0.3">
      <c r="E58" s="22"/>
      <c r="F58" s="22"/>
      <c r="G58" s="22"/>
      <c r="H58" s="22"/>
      <c r="I58" s="22"/>
      <c r="J58" s="22"/>
      <c r="K58" s="22"/>
      <c r="L58" s="22"/>
      <c r="M58" s="22"/>
      <c r="N58" s="22"/>
      <c r="O58" s="22"/>
      <c r="P58" s="4"/>
      <c r="Q58" s="5"/>
      <c r="R58" s="3"/>
      <c r="S58" s="3"/>
    </row>
    <row r="59" spans="5:19" ht="14.4" customHeight="1" x14ac:dyDescent="0.3">
      <c r="E59" s="22"/>
      <c r="F59" s="22"/>
      <c r="G59" s="22"/>
      <c r="H59" s="22"/>
      <c r="I59" s="22"/>
      <c r="J59" s="22"/>
      <c r="K59" s="22"/>
      <c r="L59" s="22"/>
      <c r="M59" s="22"/>
      <c r="N59" s="22"/>
      <c r="O59" s="22"/>
      <c r="P59" s="4"/>
      <c r="Q59" s="5"/>
      <c r="R59" s="3"/>
      <c r="S59" s="3"/>
    </row>
    <row r="60" spans="5:19" ht="14.4" customHeight="1" x14ac:dyDescent="0.3">
      <c r="E60" s="22"/>
      <c r="F60" s="22"/>
      <c r="G60" s="22"/>
      <c r="H60" s="22"/>
      <c r="I60" s="22"/>
      <c r="J60" s="22"/>
      <c r="K60" s="22"/>
      <c r="L60" s="22"/>
      <c r="M60" s="22"/>
      <c r="N60" s="22"/>
      <c r="O60" s="22"/>
      <c r="P60" s="4"/>
      <c r="Q60" s="5"/>
      <c r="R60" s="3"/>
      <c r="S60" s="3"/>
    </row>
    <row r="61" spans="5:19" ht="14.4" customHeight="1" x14ac:dyDescent="0.3">
      <c r="E61" s="22"/>
      <c r="F61" s="22"/>
      <c r="G61" s="22"/>
      <c r="H61" s="22"/>
      <c r="I61" s="22"/>
      <c r="J61" s="22"/>
      <c r="K61" s="22"/>
      <c r="L61" s="22"/>
      <c r="M61" s="22"/>
      <c r="N61" s="22"/>
      <c r="O61" s="22"/>
      <c r="P61" s="4"/>
      <c r="Q61" s="5"/>
      <c r="R61" s="3"/>
      <c r="S61" s="3"/>
    </row>
    <row r="62" spans="5:19" ht="14.4" customHeight="1" x14ac:dyDescent="0.3">
      <c r="E62" s="22"/>
      <c r="F62" s="22"/>
      <c r="G62" s="22"/>
      <c r="H62" s="22"/>
      <c r="I62" s="22"/>
      <c r="J62" s="22"/>
      <c r="K62" s="22"/>
      <c r="L62" s="22"/>
      <c r="M62" s="22"/>
      <c r="N62" s="22"/>
      <c r="O62" s="22"/>
      <c r="P62" s="4"/>
      <c r="Q62" s="5"/>
      <c r="R62" s="3"/>
      <c r="S62" s="3"/>
    </row>
    <row r="63" spans="5:19" ht="14.4" customHeight="1" x14ac:dyDescent="0.3">
      <c r="E63" s="22"/>
      <c r="F63" s="22"/>
      <c r="G63" s="22"/>
      <c r="H63" s="22"/>
      <c r="I63" s="22"/>
      <c r="J63" s="22"/>
      <c r="K63" s="22"/>
      <c r="L63" s="22"/>
      <c r="M63" s="22"/>
      <c r="N63" s="22"/>
      <c r="O63" s="22"/>
      <c r="P63" s="4"/>
      <c r="Q63" s="5"/>
      <c r="R63" s="3"/>
      <c r="S63" s="3"/>
    </row>
    <row r="64" spans="5:19" ht="14.4" customHeight="1" x14ac:dyDescent="0.3">
      <c r="E64" s="22"/>
      <c r="F64" s="22"/>
      <c r="G64" s="22"/>
      <c r="H64" s="22"/>
      <c r="I64" s="22"/>
      <c r="J64" s="22"/>
      <c r="K64" s="22"/>
      <c r="L64" s="22"/>
      <c r="M64" s="22"/>
      <c r="N64" s="22"/>
      <c r="O64" s="22"/>
      <c r="P64" s="4"/>
      <c r="Q64" s="5"/>
      <c r="R64" s="3"/>
      <c r="S64" s="3"/>
    </row>
    <row r="65" spans="5:19" ht="14.4" customHeight="1" x14ac:dyDescent="0.3">
      <c r="E65" s="22"/>
      <c r="F65" s="22"/>
      <c r="G65" s="22"/>
      <c r="H65" s="22"/>
      <c r="I65" s="22"/>
      <c r="J65" s="22"/>
      <c r="K65" s="22"/>
      <c r="L65" s="22"/>
      <c r="M65" s="22"/>
      <c r="N65" s="22"/>
      <c r="O65" s="22"/>
      <c r="P65" s="4"/>
      <c r="Q65" s="5"/>
      <c r="R65" s="3"/>
      <c r="S65" s="3"/>
    </row>
    <row r="66" spans="5:19" ht="14.4" customHeight="1" x14ac:dyDescent="0.3">
      <c r="E66" s="22"/>
      <c r="F66" s="22"/>
      <c r="G66" s="22"/>
      <c r="H66" s="22"/>
      <c r="I66" s="22"/>
      <c r="J66" s="22"/>
      <c r="K66" s="22"/>
      <c r="L66" s="22"/>
      <c r="M66" s="22"/>
      <c r="N66" s="22"/>
      <c r="O66" s="22"/>
      <c r="P66" s="4"/>
      <c r="Q66" s="5"/>
      <c r="R66" s="3"/>
      <c r="S66" s="3"/>
    </row>
    <row r="67" spans="5:19" ht="14.4" customHeight="1" x14ac:dyDescent="0.3">
      <c r="E67" s="22"/>
      <c r="F67" s="22"/>
      <c r="G67" s="22"/>
      <c r="H67" s="22"/>
      <c r="I67" s="22"/>
      <c r="J67" s="22"/>
      <c r="K67" s="22"/>
      <c r="L67" s="22"/>
      <c r="M67" s="22"/>
      <c r="N67" s="22"/>
      <c r="O67" s="22"/>
      <c r="P67" s="4"/>
      <c r="Q67" s="5"/>
      <c r="R67" s="3"/>
      <c r="S67" s="3"/>
    </row>
    <row r="68" spans="5:19" ht="14.4" customHeight="1" x14ac:dyDescent="0.3">
      <c r="E68" s="22"/>
      <c r="F68" s="22"/>
      <c r="G68" s="22"/>
      <c r="H68" s="22"/>
      <c r="I68" s="22"/>
      <c r="J68" s="22"/>
      <c r="K68" s="22"/>
      <c r="L68" s="22"/>
      <c r="M68" s="22"/>
      <c r="N68" s="22"/>
      <c r="O68" s="22"/>
      <c r="P68" s="5"/>
      <c r="Q68" s="5"/>
      <c r="R68" s="3"/>
      <c r="S68" s="3"/>
    </row>
    <row r="69" spans="5:19" ht="14.4" customHeight="1" x14ac:dyDescent="0.3">
      <c r="E69" s="22"/>
      <c r="F69" s="22"/>
      <c r="G69" s="22"/>
      <c r="H69" s="22"/>
      <c r="I69" s="22"/>
      <c r="J69" s="22"/>
      <c r="K69" s="22"/>
      <c r="L69" s="22"/>
      <c r="M69" s="22"/>
      <c r="N69" s="22"/>
      <c r="O69" s="22"/>
      <c r="P69" s="5"/>
      <c r="Q69" s="5"/>
      <c r="R69" s="3"/>
      <c r="S69" s="3"/>
    </row>
    <row r="70" spans="5:19" ht="14.4" customHeight="1" x14ac:dyDescent="0.3">
      <c r="E70" s="2"/>
      <c r="F70" s="2"/>
      <c r="G70" s="2"/>
      <c r="H70" s="2"/>
      <c r="I70" s="2"/>
      <c r="J70" s="2"/>
      <c r="K70" s="2"/>
      <c r="L70" s="2"/>
      <c r="M70" s="2"/>
      <c r="N70" s="2"/>
      <c r="O70" s="2"/>
      <c r="P70" s="2"/>
      <c r="Q70" s="2"/>
    </row>
    <row r="71" spans="5:19" ht="14.4" customHeight="1" x14ac:dyDescent="0.3">
      <c r="E71" s="2"/>
      <c r="F71" s="2"/>
      <c r="G71" s="2"/>
      <c r="H71" s="2"/>
      <c r="I71" s="2"/>
      <c r="J71" s="2"/>
      <c r="K71" s="2"/>
      <c r="L71" s="2"/>
      <c r="M71" s="2"/>
      <c r="N71" s="2"/>
      <c r="O71" s="2"/>
      <c r="P71" s="2"/>
      <c r="Q71" s="2"/>
    </row>
    <row r="72" spans="5:19" ht="14.4" customHeight="1" x14ac:dyDescent="0.3">
      <c r="E72" s="2"/>
      <c r="F72" s="2"/>
      <c r="G72" s="2"/>
      <c r="H72" s="2"/>
      <c r="I72" s="2"/>
      <c r="J72" s="2"/>
      <c r="K72" s="2"/>
      <c r="L72" s="2"/>
      <c r="M72" s="2"/>
      <c r="N72" s="2"/>
      <c r="O72" s="2"/>
      <c r="P72" s="2"/>
      <c r="Q72" s="2"/>
    </row>
    <row r="73" spans="5:19" ht="14.4" customHeight="1" x14ac:dyDescent="0.3">
      <c r="E73" s="2"/>
      <c r="F73" s="2"/>
      <c r="G73" s="2"/>
      <c r="H73" s="2"/>
      <c r="I73" s="2"/>
      <c r="J73" s="2"/>
      <c r="K73" s="2"/>
      <c r="L73" s="2"/>
      <c r="M73" s="2"/>
      <c r="N73" s="2"/>
      <c r="O73" s="2"/>
      <c r="P73" s="2"/>
      <c r="Q73" s="2"/>
    </row>
    <row r="74" spans="5:19" ht="14.4" customHeight="1" x14ac:dyDescent="0.3">
      <c r="E74" s="2"/>
      <c r="F74" s="2"/>
      <c r="G74" s="2"/>
      <c r="H74" s="2"/>
      <c r="I74" s="2"/>
      <c r="J74" s="2"/>
      <c r="K74" s="2"/>
      <c r="L74" s="2"/>
      <c r="M74" s="2"/>
      <c r="N74" s="2"/>
      <c r="O74" s="2"/>
      <c r="P74" s="2"/>
      <c r="Q74" s="2"/>
    </row>
    <row r="75" spans="5:19" ht="14.4" customHeight="1" x14ac:dyDescent="0.3">
      <c r="E75" s="2"/>
      <c r="F75" s="2"/>
      <c r="G75" s="2"/>
      <c r="H75" s="2"/>
      <c r="I75" s="2"/>
      <c r="J75" s="2"/>
      <c r="K75" s="2"/>
      <c r="L75" s="2"/>
      <c r="M75" s="2"/>
      <c r="N75" s="2"/>
      <c r="O75" s="2"/>
      <c r="P75" s="2"/>
      <c r="Q75" s="2"/>
    </row>
    <row r="76" spans="5:19" ht="14.4" customHeight="1" x14ac:dyDescent="0.3">
      <c r="E76" s="2"/>
      <c r="F76" s="2"/>
      <c r="G76" s="2"/>
      <c r="H76" s="2"/>
      <c r="I76" s="2"/>
      <c r="J76" s="2"/>
      <c r="K76" s="2"/>
      <c r="L76" s="2"/>
      <c r="M76" s="2"/>
      <c r="N76" s="2"/>
      <c r="O76" s="2"/>
      <c r="P76" s="2"/>
      <c r="Q76" s="2"/>
    </row>
    <row r="77" spans="5:19" ht="14.4" customHeight="1" x14ac:dyDescent="0.3">
      <c r="E77" s="2"/>
      <c r="F77" s="2"/>
      <c r="G77" s="2"/>
      <c r="H77" s="2"/>
      <c r="I77" s="2"/>
      <c r="J77" s="2"/>
      <c r="K77" s="2"/>
      <c r="L77" s="2"/>
      <c r="M77" s="2"/>
      <c r="N77" s="2"/>
      <c r="O77" s="2"/>
      <c r="P77" s="2"/>
      <c r="Q77" s="2"/>
    </row>
    <row r="78" spans="5:19" ht="14.4" customHeight="1" x14ac:dyDescent="0.3">
      <c r="E78" s="2"/>
      <c r="F78" s="2"/>
      <c r="G78" s="2"/>
      <c r="H78" s="2"/>
      <c r="I78" s="2"/>
      <c r="J78" s="2"/>
      <c r="K78" s="2"/>
      <c r="L78" s="2"/>
      <c r="M78" s="2"/>
      <c r="N78" s="2"/>
      <c r="O78" s="2"/>
      <c r="P78" s="2"/>
      <c r="Q78" s="2"/>
    </row>
  </sheetData>
  <mergeCells count="9">
    <mergeCell ref="E22:S33"/>
    <mergeCell ref="E34:Q44"/>
    <mergeCell ref="E47:O69"/>
    <mergeCell ref="E3:U4"/>
    <mergeCell ref="E7:R8"/>
    <mergeCell ref="E11:U11"/>
    <mergeCell ref="E12:M12"/>
    <mergeCell ref="E13:O13"/>
    <mergeCell ref="E17:S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9737-6521-4AF6-AFC5-B1BD9BD9062D}">
  <dimension ref="C5:O32"/>
  <sheetViews>
    <sheetView workbookViewId="0">
      <selection activeCell="O14" sqref="O14"/>
    </sheetView>
  </sheetViews>
  <sheetFormatPr defaultRowHeight="14.4" x14ac:dyDescent="0.3"/>
  <cols>
    <col min="5" max="5" width="11.21875" bestFit="1" customWidth="1"/>
  </cols>
  <sheetData>
    <row r="5" spans="3:15" ht="14.4" customHeight="1" x14ac:dyDescent="0.3">
      <c r="C5" s="39" t="s">
        <v>10</v>
      </c>
      <c r="D5" s="39"/>
      <c r="E5" s="39"/>
      <c r="F5" s="39"/>
      <c r="G5" s="39"/>
      <c r="H5" s="39"/>
      <c r="I5" s="39"/>
      <c r="J5" s="39"/>
      <c r="K5" s="39"/>
      <c r="L5" s="39"/>
      <c r="M5" s="39"/>
      <c r="N5" s="39"/>
      <c r="O5" s="39"/>
    </row>
    <row r="6" spans="3:15" ht="14.4" customHeight="1" x14ac:dyDescent="0.3">
      <c r="C6" s="39"/>
      <c r="D6" s="39"/>
      <c r="E6" s="39"/>
      <c r="F6" s="39"/>
      <c r="G6" s="39"/>
      <c r="H6" s="39"/>
      <c r="I6" s="39"/>
      <c r="J6" s="39"/>
      <c r="K6" s="39"/>
      <c r="L6" s="39"/>
      <c r="M6" s="39"/>
      <c r="N6" s="39"/>
      <c r="O6" s="39"/>
    </row>
    <row r="7" spans="3:15" x14ac:dyDescent="0.3">
      <c r="C7" s="39"/>
      <c r="D7" s="39"/>
      <c r="E7" s="39"/>
      <c r="F7" s="39"/>
      <c r="G7" s="39"/>
      <c r="H7" s="39"/>
      <c r="I7" s="39"/>
      <c r="J7" s="39"/>
      <c r="K7" s="39"/>
      <c r="L7" s="39"/>
      <c r="M7" s="39"/>
      <c r="N7" s="39"/>
      <c r="O7" s="39"/>
    </row>
    <row r="10" spans="3:15" ht="15.6" x14ac:dyDescent="0.3">
      <c r="C10" s="10"/>
      <c r="D10" s="20" t="s">
        <v>11</v>
      </c>
      <c r="E10" s="20" t="s">
        <v>12</v>
      </c>
      <c r="F10" s="20" t="s">
        <v>13</v>
      </c>
      <c r="G10" s="10"/>
      <c r="H10" s="10"/>
      <c r="I10" s="10"/>
      <c r="J10" s="10"/>
      <c r="K10" s="10"/>
    </row>
    <row r="11" spans="3:15" ht="15.6" x14ac:dyDescent="0.3">
      <c r="C11" s="10"/>
      <c r="D11" s="21" t="s">
        <v>14</v>
      </c>
      <c r="E11" s="21" t="s">
        <v>17</v>
      </c>
      <c r="F11" s="21">
        <v>4000</v>
      </c>
      <c r="G11" s="10"/>
      <c r="H11" s="10"/>
      <c r="I11" s="10"/>
      <c r="J11" s="10"/>
      <c r="K11" s="10"/>
    </row>
    <row r="12" spans="3:15" ht="15.6" x14ac:dyDescent="0.3">
      <c r="C12" s="10"/>
      <c r="D12" s="21" t="s">
        <v>15</v>
      </c>
      <c r="E12" s="21" t="s">
        <v>18</v>
      </c>
      <c r="F12" s="21">
        <v>5000</v>
      </c>
      <c r="G12" s="10"/>
      <c r="H12" s="10"/>
      <c r="I12" s="10"/>
      <c r="J12" s="10"/>
      <c r="K12" s="10"/>
    </row>
    <row r="13" spans="3:15" ht="15.6" x14ac:dyDescent="0.3">
      <c r="C13" s="10"/>
      <c r="D13" s="21" t="s">
        <v>16</v>
      </c>
      <c r="E13" s="21" t="s">
        <v>17</v>
      </c>
      <c r="F13" s="21">
        <v>2500</v>
      </c>
      <c r="G13" s="10"/>
      <c r="H13" s="10"/>
      <c r="I13" s="10"/>
      <c r="J13" s="10"/>
      <c r="K13" s="10"/>
    </row>
    <row r="14" spans="3:15" ht="15.6" x14ac:dyDescent="0.3">
      <c r="C14" s="10"/>
      <c r="D14" s="10"/>
      <c r="E14" s="10"/>
      <c r="F14" s="10"/>
      <c r="G14" s="10"/>
      <c r="H14" s="10"/>
      <c r="I14" s="10"/>
      <c r="J14" s="10"/>
      <c r="K14" s="10"/>
    </row>
    <row r="15" spans="3:15" ht="15.6" x14ac:dyDescent="0.3">
      <c r="C15" s="41" t="s">
        <v>5</v>
      </c>
      <c r="D15" s="41"/>
      <c r="E15" s="41"/>
      <c r="F15" s="41"/>
      <c r="G15" s="41"/>
      <c r="H15" s="41"/>
      <c r="I15" s="41"/>
      <c r="J15" s="41"/>
      <c r="K15" s="41"/>
    </row>
    <row r="16" spans="3:15" ht="15.6" x14ac:dyDescent="0.3">
      <c r="C16" s="41"/>
      <c r="D16" s="41"/>
      <c r="E16" s="41"/>
      <c r="F16" s="41"/>
      <c r="G16" s="41"/>
      <c r="H16" s="41"/>
      <c r="I16" s="41"/>
      <c r="J16" s="41"/>
      <c r="K16" s="41"/>
    </row>
    <row r="17" spans="3:11" ht="15.6" x14ac:dyDescent="0.3">
      <c r="C17" s="41"/>
      <c r="D17" s="49" t="s">
        <v>11</v>
      </c>
      <c r="E17" s="49" t="s">
        <v>12</v>
      </c>
      <c r="F17" s="49" t="s">
        <v>13</v>
      </c>
      <c r="G17" s="41"/>
      <c r="H17" s="41"/>
      <c r="I17" s="41"/>
      <c r="J17" s="41"/>
      <c r="K17" s="41"/>
    </row>
    <row r="18" spans="3:11" ht="15.6" x14ac:dyDescent="0.3">
      <c r="C18" s="41"/>
      <c r="D18" s="49" t="s">
        <v>14</v>
      </c>
      <c r="E18" s="49" t="s">
        <v>18</v>
      </c>
      <c r="F18" s="49">
        <v>5000</v>
      </c>
      <c r="G18" s="41"/>
      <c r="H18" s="41"/>
      <c r="I18" s="41"/>
      <c r="J18" s="41"/>
      <c r="K18" s="41"/>
    </row>
    <row r="19" spans="3:11" ht="15.6" x14ac:dyDescent="0.3">
      <c r="C19" s="41"/>
      <c r="D19" s="49" t="s">
        <v>15</v>
      </c>
      <c r="E19" s="49" t="s">
        <v>17</v>
      </c>
      <c r="F19" s="49">
        <v>4000</v>
      </c>
      <c r="G19" s="41"/>
      <c r="H19" s="41"/>
      <c r="I19" s="41"/>
      <c r="J19" s="41"/>
      <c r="K19" s="41"/>
    </row>
    <row r="20" spans="3:11" ht="15.6" x14ac:dyDescent="0.3">
      <c r="C20" s="41"/>
      <c r="D20" s="49" t="s">
        <v>16</v>
      </c>
      <c r="E20" s="49" t="s">
        <v>17</v>
      </c>
      <c r="F20" s="49">
        <v>2500</v>
      </c>
      <c r="G20" s="41"/>
      <c r="H20" s="41"/>
      <c r="I20" s="41"/>
      <c r="J20" s="41"/>
      <c r="K20" s="41"/>
    </row>
    <row r="21" spans="3:11" ht="15.6" x14ac:dyDescent="0.3">
      <c r="C21" s="41"/>
      <c r="D21" s="41"/>
      <c r="E21" s="41"/>
      <c r="F21" s="41"/>
      <c r="G21" s="41"/>
      <c r="H21" s="41"/>
      <c r="I21" s="41"/>
      <c r="J21" s="41"/>
      <c r="K21" s="41"/>
    </row>
    <row r="22" spans="3:11" ht="15.6" x14ac:dyDescent="0.3">
      <c r="C22" s="40" t="s">
        <v>19</v>
      </c>
      <c r="D22" s="40"/>
      <c r="E22" s="40"/>
      <c r="F22" s="40"/>
      <c r="G22" s="40"/>
      <c r="H22" s="40"/>
      <c r="I22" s="40"/>
      <c r="J22" s="40"/>
      <c r="K22" s="40"/>
    </row>
    <row r="23" spans="3:11" ht="15.6" x14ac:dyDescent="0.3">
      <c r="C23" s="39" t="s">
        <v>20</v>
      </c>
      <c r="D23" s="39"/>
      <c r="E23" s="39"/>
      <c r="F23" s="39"/>
      <c r="G23" s="39"/>
      <c r="H23" s="39"/>
      <c r="I23" s="39"/>
      <c r="J23" s="39"/>
      <c r="K23" s="41"/>
    </row>
    <row r="24" spans="3:11" ht="15.6" x14ac:dyDescent="0.3">
      <c r="C24" s="39"/>
      <c r="D24" s="39"/>
      <c r="E24" s="39"/>
      <c r="F24" s="39"/>
      <c r="G24" s="39"/>
      <c r="H24" s="39"/>
      <c r="I24" s="39"/>
      <c r="J24" s="39"/>
      <c r="K24" s="41"/>
    </row>
    <row r="25" spans="3:11" ht="15.6" x14ac:dyDescent="0.3">
      <c r="C25" s="39"/>
      <c r="D25" s="39"/>
      <c r="E25" s="39"/>
      <c r="F25" s="39"/>
      <c r="G25" s="39"/>
      <c r="H25" s="39"/>
      <c r="I25" s="39"/>
      <c r="J25" s="39"/>
      <c r="K25" s="41"/>
    </row>
    <row r="26" spans="3:11" ht="15.6" x14ac:dyDescent="0.3">
      <c r="C26" s="39"/>
      <c r="D26" s="39"/>
      <c r="E26" s="39"/>
      <c r="F26" s="39"/>
      <c r="G26" s="39"/>
      <c r="H26" s="39"/>
      <c r="I26" s="39"/>
      <c r="J26" s="39"/>
      <c r="K26" s="41"/>
    </row>
    <row r="27" spans="3:11" ht="15.6" x14ac:dyDescent="0.3">
      <c r="C27" s="39"/>
      <c r="D27" s="39"/>
      <c r="E27" s="39"/>
      <c r="F27" s="39"/>
      <c r="G27" s="39"/>
      <c r="H27" s="39"/>
      <c r="I27" s="39"/>
      <c r="J27" s="39"/>
      <c r="K27" s="41"/>
    </row>
    <row r="28" spans="3:11" ht="15.6" x14ac:dyDescent="0.3">
      <c r="C28" s="39"/>
      <c r="D28" s="39"/>
      <c r="E28" s="39"/>
      <c r="F28" s="39"/>
      <c r="G28" s="39"/>
      <c r="H28" s="39"/>
      <c r="I28" s="39"/>
      <c r="J28" s="39"/>
      <c r="K28" s="41"/>
    </row>
    <row r="29" spans="3:11" ht="15.6" x14ac:dyDescent="0.3">
      <c r="C29" s="39"/>
      <c r="D29" s="39"/>
      <c r="E29" s="39"/>
      <c r="F29" s="39"/>
      <c r="G29" s="39"/>
      <c r="H29" s="39"/>
      <c r="I29" s="39"/>
      <c r="J29" s="39"/>
      <c r="K29" s="41"/>
    </row>
    <row r="30" spans="3:11" ht="15.6" x14ac:dyDescent="0.3">
      <c r="C30" s="39"/>
      <c r="D30" s="39"/>
      <c r="E30" s="39"/>
      <c r="F30" s="39"/>
      <c r="G30" s="39"/>
      <c r="H30" s="39"/>
      <c r="I30" s="39"/>
      <c r="J30" s="39"/>
      <c r="K30" s="41"/>
    </row>
    <row r="31" spans="3:11" ht="15.6" x14ac:dyDescent="0.3">
      <c r="C31" s="39"/>
      <c r="D31" s="39"/>
      <c r="E31" s="39"/>
      <c r="F31" s="39"/>
      <c r="G31" s="39"/>
      <c r="H31" s="39"/>
      <c r="I31" s="39"/>
      <c r="J31" s="39"/>
      <c r="K31" s="41"/>
    </row>
    <row r="32" spans="3:11" ht="15.6" x14ac:dyDescent="0.3">
      <c r="C32" s="39"/>
      <c r="D32" s="39"/>
      <c r="E32" s="39"/>
      <c r="F32" s="39"/>
      <c r="G32" s="39"/>
      <c r="H32" s="39"/>
      <c r="I32" s="39"/>
      <c r="J32" s="39"/>
      <c r="K32" s="41"/>
    </row>
  </sheetData>
  <sortState xmlns:xlrd2="http://schemas.microsoft.com/office/spreadsheetml/2017/richdata2" ref="F18:F20">
    <sortCondition descending="1" ref="F18:F20"/>
  </sortState>
  <mergeCells count="3">
    <mergeCell ref="C5:O7"/>
    <mergeCell ref="C22:K22"/>
    <mergeCell ref="C23:J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8D0FF-E5ED-4267-ADF5-F2A4EB4BDE90}">
  <dimension ref="D4:Q45"/>
  <sheetViews>
    <sheetView workbookViewId="0">
      <selection activeCell="O40" sqref="O40"/>
    </sheetView>
  </sheetViews>
  <sheetFormatPr defaultRowHeight="14.4" x14ac:dyDescent="0.3"/>
  <sheetData>
    <row r="4" spans="4:17" x14ac:dyDescent="0.3">
      <c r="D4" s="26" t="s">
        <v>21</v>
      </c>
      <c r="E4" s="26"/>
      <c r="F4" s="26"/>
      <c r="G4" s="26"/>
      <c r="H4" s="26"/>
      <c r="I4" s="26"/>
      <c r="J4" s="26"/>
      <c r="K4" s="26"/>
      <c r="L4" s="26"/>
      <c r="M4" s="26"/>
      <c r="N4" s="26"/>
      <c r="O4" s="26"/>
      <c r="P4" s="26"/>
      <c r="Q4" s="26"/>
    </row>
    <row r="5" spans="4:17" x14ac:dyDescent="0.3">
      <c r="D5" s="26"/>
      <c r="E5" s="26"/>
      <c r="F5" s="26"/>
      <c r="G5" s="26"/>
      <c r="H5" s="26"/>
      <c r="I5" s="26"/>
      <c r="J5" s="26"/>
      <c r="K5" s="26"/>
      <c r="L5" s="26"/>
      <c r="M5" s="26"/>
      <c r="N5" s="26"/>
      <c r="O5" s="26"/>
      <c r="P5" s="26"/>
      <c r="Q5" s="26"/>
    </row>
    <row r="8" spans="4:17" ht="15.6" x14ac:dyDescent="0.3">
      <c r="D8" s="7" t="s">
        <v>5</v>
      </c>
      <c r="E8" s="6"/>
      <c r="F8" s="6"/>
      <c r="G8" s="6"/>
      <c r="H8" s="6"/>
      <c r="I8" s="6"/>
      <c r="J8" s="6"/>
      <c r="K8" s="6"/>
      <c r="L8" s="6"/>
      <c r="M8" s="6"/>
    </row>
    <row r="9" spans="4:17" x14ac:dyDescent="0.3">
      <c r="D9" s="6"/>
      <c r="E9" s="6"/>
      <c r="F9" s="6"/>
      <c r="G9" s="6"/>
      <c r="H9" s="6"/>
      <c r="I9" s="6"/>
      <c r="J9" s="6"/>
      <c r="K9" s="6"/>
      <c r="L9" s="6"/>
      <c r="M9" s="6"/>
    </row>
    <row r="10" spans="4:17" x14ac:dyDescent="0.3">
      <c r="D10" s="6"/>
      <c r="E10" s="6"/>
      <c r="F10" s="6"/>
      <c r="G10" s="6"/>
      <c r="H10" s="6"/>
      <c r="I10" s="6"/>
      <c r="J10" s="6"/>
      <c r="K10" s="6"/>
      <c r="L10" s="6"/>
      <c r="M10" s="6"/>
    </row>
    <row r="11" spans="4:17" ht="14.4" customHeight="1" x14ac:dyDescent="0.3">
      <c r="D11" s="30" t="s">
        <v>22</v>
      </c>
      <c r="E11" s="30"/>
      <c r="F11" s="30"/>
      <c r="G11" s="30"/>
      <c r="H11" s="30"/>
      <c r="I11" s="30"/>
      <c r="J11" s="30"/>
      <c r="K11" s="30"/>
      <c r="L11" s="30"/>
      <c r="M11" s="30"/>
    </row>
    <row r="12" spans="4:17" ht="14.4" customHeight="1" x14ac:dyDescent="0.3">
      <c r="D12" s="30"/>
      <c r="E12" s="30"/>
      <c r="F12" s="30"/>
      <c r="G12" s="30"/>
      <c r="H12" s="30"/>
      <c r="I12" s="30"/>
      <c r="J12" s="30"/>
      <c r="K12" s="30"/>
      <c r="L12" s="30"/>
      <c r="M12" s="30"/>
    </row>
    <row r="13" spans="4:17" ht="14.4" customHeight="1" x14ac:dyDescent="0.3">
      <c r="D13" s="30"/>
      <c r="E13" s="30"/>
      <c r="F13" s="30"/>
      <c r="G13" s="30"/>
      <c r="H13" s="30"/>
      <c r="I13" s="30"/>
      <c r="J13" s="30"/>
      <c r="K13" s="30"/>
      <c r="L13" s="30"/>
      <c r="M13" s="30"/>
    </row>
    <row r="14" spans="4:17" x14ac:dyDescent="0.3">
      <c r="D14" s="30"/>
      <c r="E14" s="30"/>
      <c r="F14" s="30"/>
      <c r="G14" s="30"/>
      <c r="H14" s="30"/>
      <c r="I14" s="30"/>
      <c r="J14" s="30"/>
      <c r="K14" s="30"/>
      <c r="L14" s="30"/>
      <c r="M14" s="30"/>
    </row>
    <row r="15" spans="4:17" x14ac:dyDescent="0.3">
      <c r="D15" s="30"/>
      <c r="E15" s="30"/>
      <c r="F15" s="30"/>
      <c r="G15" s="30"/>
      <c r="H15" s="30"/>
      <c r="I15" s="30"/>
      <c r="J15" s="30"/>
      <c r="K15" s="30"/>
      <c r="L15" s="30"/>
      <c r="M15" s="30"/>
    </row>
    <row r="16" spans="4:17" x14ac:dyDescent="0.3">
      <c r="D16" s="6"/>
      <c r="E16" s="6"/>
      <c r="F16" s="6"/>
      <c r="G16" s="6"/>
      <c r="H16" s="6"/>
      <c r="I16" s="6"/>
      <c r="J16" s="6"/>
      <c r="K16" s="6"/>
      <c r="L16" s="6"/>
      <c r="M16" s="6"/>
    </row>
    <row r="17" spans="4:13" x14ac:dyDescent="0.3">
      <c r="D17" s="31" t="s">
        <v>23</v>
      </c>
      <c r="E17" s="32"/>
      <c r="F17" s="32"/>
      <c r="G17" s="32"/>
      <c r="H17" s="32"/>
      <c r="I17" s="32"/>
      <c r="J17" s="32"/>
      <c r="K17" s="32"/>
      <c r="L17" s="32"/>
      <c r="M17" s="32"/>
    </row>
    <row r="18" spans="4:13" x14ac:dyDescent="0.3">
      <c r="D18" s="32"/>
      <c r="E18" s="32"/>
      <c r="F18" s="32"/>
      <c r="G18" s="32"/>
      <c r="H18" s="32"/>
      <c r="I18" s="32"/>
      <c r="J18" s="32"/>
      <c r="K18" s="32"/>
      <c r="L18" s="32"/>
      <c r="M18" s="32"/>
    </row>
    <row r="19" spans="4:13" x14ac:dyDescent="0.3">
      <c r="D19" s="32"/>
      <c r="E19" s="32"/>
      <c r="F19" s="32"/>
      <c r="G19" s="32"/>
      <c r="H19" s="32"/>
      <c r="I19" s="32"/>
      <c r="J19" s="32"/>
      <c r="K19" s="32"/>
      <c r="L19" s="32"/>
      <c r="M19" s="32"/>
    </row>
    <row r="20" spans="4:13" x14ac:dyDescent="0.3">
      <c r="D20" s="32"/>
      <c r="E20" s="32"/>
      <c r="F20" s="32"/>
      <c r="G20" s="32"/>
      <c r="H20" s="32"/>
      <c r="I20" s="32"/>
      <c r="J20" s="32"/>
      <c r="K20" s="32"/>
      <c r="L20" s="32"/>
      <c r="M20" s="32"/>
    </row>
    <row r="21" spans="4:13" x14ac:dyDescent="0.3">
      <c r="D21" s="32"/>
      <c r="E21" s="32"/>
      <c r="F21" s="32"/>
      <c r="G21" s="32"/>
      <c r="H21" s="32"/>
      <c r="I21" s="32"/>
      <c r="J21" s="32"/>
      <c r="K21" s="32"/>
      <c r="L21" s="32"/>
      <c r="M21" s="32"/>
    </row>
    <row r="22" spans="4:13" x14ac:dyDescent="0.3">
      <c r="D22" s="6"/>
      <c r="E22" s="6"/>
      <c r="F22" s="6"/>
      <c r="G22" s="6"/>
      <c r="H22" s="6"/>
      <c r="I22" s="6"/>
      <c r="J22" s="6"/>
      <c r="K22" s="6"/>
      <c r="L22" s="6"/>
      <c r="M22" s="6"/>
    </row>
    <row r="23" spans="4:13" ht="14.4" customHeight="1" x14ac:dyDescent="0.3">
      <c r="D23" s="33" t="s">
        <v>24</v>
      </c>
      <c r="E23" s="33"/>
      <c r="F23" s="33"/>
      <c r="G23" s="33"/>
      <c r="H23" s="33"/>
      <c r="I23" s="33"/>
      <c r="J23" s="33"/>
      <c r="K23" s="33"/>
      <c r="L23" s="33"/>
      <c r="M23" s="33"/>
    </row>
    <row r="24" spans="4:13" x14ac:dyDescent="0.3">
      <c r="D24" s="33"/>
      <c r="E24" s="33"/>
      <c r="F24" s="33"/>
      <c r="G24" s="33"/>
      <c r="H24" s="33"/>
      <c r="I24" s="33"/>
      <c r="J24" s="33"/>
      <c r="K24" s="33"/>
      <c r="L24" s="33"/>
      <c r="M24" s="33"/>
    </row>
    <row r="25" spans="4:13" x14ac:dyDescent="0.3">
      <c r="D25" s="33"/>
      <c r="E25" s="33"/>
      <c r="F25" s="33"/>
      <c r="G25" s="33"/>
      <c r="H25" s="33"/>
      <c r="I25" s="33"/>
      <c r="J25" s="33"/>
      <c r="K25" s="33"/>
      <c r="L25" s="33"/>
      <c r="M25" s="33"/>
    </row>
    <row r="26" spans="4:13" x14ac:dyDescent="0.3">
      <c r="D26" s="33"/>
      <c r="E26" s="33"/>
      <c r="F26" s="33"/>
      <c r="G26" s="33"/>
      <c r="H26" s="33"/>
      <c r="I26" s="33"/>
      <c r="J26" s="33"/>
      <c r="K26" s="33"/>
      <c r="L26" s="33"/>
      <c r="M26" s="33"/>
    </row>
    <row r="27" spans="4:13" x14ac:dyDescent="0.3">
      <c r="D27" s="33"/>
      <c r="E27" s="33"/>
      <c r="F27" s="33"/>
      <c r="G27" s="33"/>
      <c r="H27" s="33"/>
      <c r="I27" s="33"/>
      <c r="J27" s="33"/>
      <c r="K27" s="33"/>
      <c r="L27" s="33"/>
      <c r="M27" s="33"/>
    </row>
    <row r="28" spans="4:13" x14ac:dyDescent="0.3">
      <c r="D28" s="33"/>
      <c r="E28" s="33"/>
      <c r="F28" s="33"/>
      <c r="G28" s="33"/>
      <c r="H28" s="33"/>
      <c r="I28" s="33"/>
      <c r="J28" s="33"/>
      <c r="K28" s="33"/>
      <c r="L28" s="33"/>
      <c r="M28" s="33"/>
    </row>
    <row r="29" spans="4:13" x14ac:dyDescent="0.3">
      <c r="D29" s="33"/>
      <c r="E29" s="33"/>
      <c r="F29" s="33"/>
      <c r="G29" s="33"/>
      <c r="H29" s="33"/>
      <c r="I29" s="33"/>
      <c r="J29" s="33"/>
      <c r="K29" s="33"/>
      <c r="L29" s="33"/>
      <c r="M29" s="33"/>
    </row>
    <row r="30" spans="4:13" x14ac:dyDescent="0.3">
      <c r="D30" s="6"/>
      <c r="E30" s="6"/>
      <c r="F30" s="6"/>
      <c r="G30" s="6"/>
      <c r="H30" s="6"/>
      <c r="I30" s="6"/>
      <c r="J30" s="6"/>
      <c r="K30" s="6"/>
      <c r="L30" s="6"/>
      <c r="M30" s="6"/>
    </row>
    <row r="31" spans="4:13" x14ac:dyDescent="0.3">
      <c r="D31" s="28" t="s">
        <v>25</v>
      </c>
      <c r="E31" s="29"/>
      <c r="F31" s="29"/>
      <c r="G31" s="29"/>
      <c r="H31" s="29"/>
      <c r="I31" s="29"/>
      <c r="J31" s="29"/>
      <c r="K31" s="29"/>
      <c r="L31" s="29"/>
      <c r="M31" s="29"/>
    </row>
    <row r="32" spans="4:13" x14ac:dyDescent="0.3">
      <c r="D32" s="29"/>
      <c r="E32" s="29"/>
      <c r="F32" s="29"/>
      <c r="G32" s="29"/>
      <c r="H32" s="29"/>
      <c r="I32" s="29"/>
      <c r="J32" s="29"/>
      <c r="K32" s="29"/>
      <c r="L32" s="29"/>
      <c r="M32" s="29"/>
    </row>
    <row r="33" spans="4:13" x14ac:dyDescent="0.3">
      <c r="D33" s="29"/>
      <c r="E33" s="29"/>
      <c r="F33" s="29"/>
      <c r="G33" s="29"/>
      <c r="H33" s="29"/>
      <c r="I33" s="29"/>
      <c r="J33" s="29"/>
      <c r="K33" s="29"/>
      <c r="L33" s="29"/>
      <c r="M33" s="29"/>
    </row>
    <row r="34" spans="4:13" x14ac:dyDescent="0.3">
      <c r="D34" s="29"/>
      <c r="E34" s="29"/>
      <c r="F34" s="29"/>
      <c r="G34" s="29"/>
      <c r="H34" s="29"/>
      <c r="I34" s="29"/>
      <c r="J34" s="29"/>
      <c r="K34" s="29"/>
      <c r="L34" s="29"/>
      <c r="M34" s="29"/>
    </row>
    <row r="35" spans="4:13" x14ac:dyDescent="0.3">
      <c r="D35" s="29"/>
      <c r="E35" s="29"/>
      <c r="F35" s="29"/>
      <c r="G35" s="29"/>
      <c r="H35" s="29"/>
      <c r="I35" s="29"/>
      <c r="J35" s="29"/>
      <c r="K35" s="29"/>
      <c r="L35" s="29"/>
      <c r="M35" s="29"/>
    </row>
    <row r="36" spans="4:13" x14ac:dyDescent="0.3">
      <c r="D36" s="29"/>
      <c r="E36" s="29"/>
      <c r="F36" s="29"/>
      <c r="G36" s="29"/>
      <c r="H36" s="29"/>
      <c r="I36" s="29"/>
      <c r="J36" s="29"/>
      <c r="K36" s="29"/>
      <c r="L36" s="29"/>
      <c r="M36" s="29"/>
    </row>
    <row r="37" spans="4:13" x14ac:dyDescent="0.3">
      <c r="D37" s="6"/>
      <c r="E37" s="6"/>
      <c r="F37" s="6"/>
      <c r="G37" s="6"/>
      <c r="H37" s="6"/>
      <c r="I37" s="6"/>
      <c r="J37" s="6"/>
      <c r="K37" s="6"/>
      <c r="L37" s="6"/>
      <c r="M37" s="6"/>
    </row>
    <row r="38" spans="4:13" ht="14.4" customHeight="1" x14ac:dyDescent="0.3">
      <c r="D38" s="27" t="s">
        <v>106</v>
      </c>
      <c r="E38" s="27"/>
      <c r="F38" s="27"/>
      <c r="G38" s="27"/>
      <c r="H38" s="27"/>
      <c r="I38" s="27"/>
      <c r="J38" s="27"/>
      <c r="K38" s="27"/>
      <c r="L38" s="27"/>
      <c r="M38" s="27"/>
    </row>
    <row r="39" spans="4:13" ht="14.4" customHeight="1" x14ac:dyDescent="0.3">
      <c r="D39" s="27"/>
      <c r="E39" s="27"/>
      <c r="F39" s="27"/>
      <c r="G39" s="27"/>
      <c r="H39" s="27"/>
      <c r="I39" s="27"/>
      <c r="J39" s="27"/>
      <c r="K39" s="27"/>
      <c r="L39" s="27"/>
      <c r="M39" s="27"/>
    </row>
    <row r="40" spans="4:13" ht="14.4" customHeight="1" x14ac:dyDescent="0.3">
      <c r="D40" s="27"/>
      <c r="E40" s="27"/>
      <c r="F40" s="27"/>
      <c r="G40" s="27"/>
      <c r="H40" s="27"/>
      <c r="I40" s="27"/>
      <c r="J40" s="27"/>
      <c r="K40" s="27"/>
      <c r="L40" s="27"/>
      <c r="M40" s="27"/>
    </row>
    <row r="41" spans="4:13" ht="14.4" customHeight="1" x14ac:dyDescent="0.3">
      <c r="D41" s="27"/>
      <c r="E41" s="27"/>
      <c r="F41" s="27"/>
      <c r="G41" s="27"/>
      <c r="H41" s="27"/>
      <c r="I41" s="27"/>
      <c r="J41" s="27"/>
      <c r="K41" s="27"/>
      <c r="L41" s="27"/>
      <c r="M41" s="27"/>
    </row>
    <row r="42" spans="4:13" ht="14.4" customHeight="1" x14ac:dyDescent="0.3">
      <c r="D42" s="27"/>
      <c r="E42" s="27"/>
      <c r="F42" s="27"/>
      <c r="G42" s="27"/>
      <c r="H42" s="27"/>
      <c r="I42" s="27"/>
      <c r="J42" s="27"/>
      <c r="K42" s="27"/>
      <c r="L42" s="27"/>
      <c r="M42" s="27"/>
    </row>
    <row r="43" spans="4:13" ht="14.4" customHeight="1" x14ac:dyDescent="0.3">
      <c r="D43" s="27"/>
      <c r="E43" s="27"/>
      <c r="F43" s="27"/>
      <c r="G43" s="27"/>
      <c r="H43" s="27"/>
      <c r="I43" s="27"/>
      <c r="J43" s="27"/>
      <c r="K43" s="27"/>
      <c r="L43" s="27"/>
      <c r="M43" s="27"/>
    </row>
    <row r="44" spans="4:13" x14ac:dyDescent="0.3">
      <c r="D44" s="27"/>
      <c r="E44" s="27"/>
      <c r="F44" s="27"/>
      <c r="G44" s="27"/>
      <c r="H44" s="27"/>
      <c r="I44" s="27"/>
      <c r="J44" s="27"/>
      <c r="K44" s="27"/>
      <c r="L44" s="27"/>
      <c r="M44" s="27"/>
    </row>
    <row r="45" spans="4:13" x14ac:dyDescent="0.3">
      <c r="D45" s="27"/>
      <c r="E45" s="27"/>
      <c r="F45" s="27"/>
      <c r="G45" s="27"/>
      <c r="H45" s="27"/>
      <c r="I45" s="27"/>
      <c r="J45" s="27"/>
      <c r="K45" s="27"/>
      <c r="L45" s="27"/>
      <c r="M45" s="27"/>
    </row>
  </sheetData>
  <mergeCells count="6">
    <mergeCell ref="D38:M45"/>
    <mergeCell ref="D31:M36"/>
    <mergeCell ref="D4:Q5"/>
    <mergeCell ref="D11:M15"/>
    <mergeCell ref="D17:M21"/>
    <mergeCell ref="D23:M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77D8-EFE6-45E9-94E9-5BE49219BAB9}">
  <dimension ref="D5:O28"/>
  <sheetViews>
    <sheetView topLeftCell="A4" workbookViewId="0">
      <selection activeCell="S23" sqref="S23"/>
    </sheetView>
  </sheetViews>
  <sheetFormatPr defaultRowHeight="14.4" x14ac:dyDescent="0.3"/>
  <sheetData>
    <row r="5" spans="4:15" ht="15.6" x14ac:dyDescent="0.3">
      <c r="D5" s="26" t="s">
        <v>26</v>
      </c>
      <c r="E5" s="26"/>
      <c r="F5" s="26"/>
      <c r="G5" s="26"/>
      <c r="H5" s="26"/>
      <c r="I5" s="26"/>
      <c r="J5" s="26"/>
      <c r="K5" s="26"/>
      <c r="L5" s="26"/>
      <c r="M5" s="26"/>
      <c r="N5" s="26"/>
      <c r="O5" s="26"/>
    </row>
    <row r="8" spans="4:15" ht="15.6" x14ac:dyDescent="0.3">
      <c r="D8" s="3" t="s">
        <v>5</v>
      </c>
      <c r="E8" s="3"/>
      <c r="F8" s="3"/>
      <c r="G8" s="3"/>
      <c r="H8" s="3"/>
      <c r="I8" s="3"/>
      <c r="J8" s="3"/>
      <c r="K8" s="3"/>
      <c r="L8" s="3"/>
      <c r="M8" s="3"/>
      <c r="N8" s="3"/>
    </row>
    <row r="9" spans="4:15" ht="15.6" x14ac:dyDescent="0.3">
      <c r="D9" s="3"/>
      <c r="E9" s="3"/>
      <c r="F9" s="3"/>
      <c r="G9" s="3"/>
      <c r="H9" s="3"/>
      <c r="I9" s="3"/>
      <c r="J9" s="3"/>
      <c r="K9" s="3"/>
      <c r="L9" s="3"/>
      <c r="M9" s="3"/>
      <c r="N9" s="3"/>
    </row>
    <row r="10" spans="4:15" x14ac:dyDescent="0.3">
      <c r="D10" s="22" t="s">
        <v>27</v>
      </c>
      <c r="E10" s="34"/>
      <c r="F10" s="34"/>
      <c r="G10" s="34"/>
      <c r="H10" s="34"/>
      <c r="I10" s="34"/>
      <c r="J10" s="34"/>
      <c r="K10" s="34"/>
      <c r="L10" s="34"/>
      <c r="M10" s="34"/>
      <c r="N10" s="34"/>
    </row>
    <row r="11" spans="4:15" x14ac:dyDescent="0.3">
      <c r="D11" s="34"/>
      <c r="E11" s="34"/>
      <c r="F11" s="34"/>
      <c r="G11" s="34"/>
      <c r="H11" s="34"/>
      <c r="I11" s="34"/>
      <c r="J11" s="34"/>
      <c r="K11" s="34"/>
      <c r="L11" s="34"/>
      <c r="M11" s="34"/>
      <c r="N11" s="34"/>
    </row>
    <row r="12" spans="4:15" x14ac:dyDescent="0.3">
      <c r="D12" s="34"/>
      <c r="E12" s="34"/>
      <c r="F12" s="34"/>
      <c r="G12" s="34"/>
      <c r="H12" s="34"/>
      <c r="I12" s="34"/>
      <c r="J12" s="34"/>
      <c r="K12" s="34"/>
      <c r="L12" s="34"/>
      <c r="M12" s="34"/>
      <c r="N12" s="34"/>
    </row>
    <row r="13" spans="4:15" x14ac:dyDescent="0.3">
      <c r="D13" s="34"/>
      <c r="E13" s="34"/>
      <c r="F13" s="34"/>
      <c r="G13" s="34"/>
      <c r="H13" s="34"/>
      <c r="I13" s="34"/>
      <c r="J13" s="34"/>
      <c r="K13" s="34"/>
      <c r="L13" s="34"/>
      <c r="M13" s="34"/>
      <c r="N13" s="34"/>
    </row>
    <row r="14" spans="4:15" x14ac:dyDescent="0.3">
      <c r="D14" s="34"/>
      <c r="E14" s="34"/>
      <c r="F14" s="34"/>
      <c r="G14" s="34"/>
      <c r="H14" s="34"/>
      <c r="I14" s="34"/>
      <c r="J14" s="34"/>
      <c r="K14" s="34"/>
      <c r="L14" s="34"/>
      <c r="M14" s="34"/>
      <c r="N14" s="34"/>
    </row>
    <row r="15" spans="4:15" x14ac:dyDescent="0.3">
      <c r="D15" s="34"/>
      <c r="E15" s="34"/>
      <c r="F15" s="34"/>
      <c r="G15" s="34"/>
      <c r="H15" s="34"/>
      <c r="I15" s="34"/>
      <c r="J15" s="34"/>
      <c r="K15" s="34"/>
      <c r="L15" s="34"/>
      <c r="M15" s="34"/>
      <c r="N15" s="34"/>
    </row>
    <row r="16" spans="4:15" x14ac:dyDescent="0.3">
      <c r="D16" s="34"/>
      <c r="E16" s="34"/>
      <c r="F16" s="34"/>
      <c r="G16" s="34"/>
      <c r="H16" s="34"/>
      <c r="I16" s="34"/>
      <c r="J16" s="34"/>
      <c r="K16" s="34"/>
      <c r="L16" s="34"/>
      <c r="M16" s="34"/>
      <c r="N16" s="34"/>
    </row>
    <row r="17" spans="4:14" x14ac:dyDescent="0.3">
      <c r="D17" s="34"/>
      <c r="E17" s="34"/>
      <c r="F17" s="34"/>
      <c r="G17" s="34"/>
      <c r="H17" s="34"/>
      <c r="I17" s="34"/>
      <c r="J17" s="34"/>
      <c r="K17" s="34"/>
      <c r="L17" s="34"/>
      <c r="M17" s="34"/>
      <c r="N17" s="34"/>
    </row>
    <row r="18" spans="4:14" x14ac:dyDescent="0.3">
      <c r="D18" s="34"/>
      <c r="E18" s="34"/>
      <c r="F18" s="34"/>
      <c r="G18" s="34"/>
      <c r="H18" s="34"/>
      <c r="I18" s="34"/>
      <c r="J18" s="34"/>
      <c r="K18" s="34"/>
      <c r="L18" s="34"/>
      <c r="M18" s="34"/>
      <c r="N18" s="34"/>
    </row>
    <row r="19" spans="4:14" ht="15.6" x14ac:dyDescent="0.3">
      <c r="D19" s="3"/>
      <c r="E19" s="3"/>
      <c r="F19" s="3"/>
      <c r="G19" s="3"/>
      <c r="H19" s="3"/>
      <c r="I19" s="3"/>
      <c r="J19" s="3"/>
      <c r="K19" s="3"/>
      <c r="L19" s="3"/>
      <c r="M19" s="3"/>
      <c r="N19" s="3"/>
    </row>
    <row r="20" spans="4:14" ht="14.4" customHeight="1" x14ac:dyDescent="0.3">
      <c r="D20" s="35" t="s">
        <v>28</v>
      </c>
      <c r="E20" s="35"/>
      <c r="F20" s="35"/>
      <c r="G20" s="35"/>
      <c r="H20" s="35"/>
      <c r="I20" s="35"/>
      <c r="J20" s="35"/>
      <c r="K20" s="35"/>
      <c r="L20" s="35"/>
      <c r="M20" s="35"/>
      <c r="N20" s="35"/>
    </row>
    <row r="21" spans="4:14" ht="14.4" customHeight="1" x14ac:dyDescent="0.3">
      <c r="D21" s="35"/>
      <c r="E21" s="35"/>
      <c r="F21" s="35"/>
      <c r="G21" s="35"/>
      <c r="H21" s="35"/>
      <c r="I21" s="35"/>
      <c r="J21" s="35"/>
      <c r="K21" s="35"/>
      <c r="L21" s="35"/>
      <c r="M21" s="35"/>
      <c r="N21" s="35"/>
    </row>
    <row r="22" spans="4:14" ht="14.4" customHeight="1" x14ac:dyDescent="0.3">
      <c r="D22" s="35"/>
      <c r="E22" s="35"/>
      <c r="F22" s="35"/>
      <c r="G22" s="35"/>
      <c r="H22" s="35"/>
      <c r="I22" s="35"/>
      <c r="J22" s="35"/>
      <c r="K22" s="35"/>
      <c r="L22" s="35"/>
      <c r="M22" s="35"/>
      <c r="N22" s="35"/>
    </row>
    <row r="23" spans="4:14" ht="14.4" customHeight="1" x14ac:dyDescent="0.3">
      <c r="D23" s="35"/>
      <c r="E23" s="35"/>
      <c r="F23" s="35"/>
      <c r="G23" s="35"/>
      <c r="H23" s="35"/>
      <c r="I23" s="35"/>
      <c r="J23" s="35"/>
      <c r="K23" s="35"/>
      <c r="L23" s="35"/>
      <c r="M23" s="35"/>
      <c r="N23" s="35"/>
    </row>
    <row r="24" spans="4:14" ht="14.4" customHeight="1" x14ac:dyDescent="0.3">
      <c r="D24" s="35"/>
      <c r="E24" s="35"/>
      <c r="F24" s="35"/>
      <c r="G24" s="35"/>
      <c r="H24" s="35"/>
      <c r="I24" s="35"/>
      <c r="J24" s="35"/>
      <c r="K24" s="35"/>
      <c r="L24" s="35"/>
      <c r="M24" s="35"/>
      <c r="N24" s="35"/>
    </row>
    <row r="25" spans="4:14" ht="14.4" customHeight="1" x14ac:dyDescent="0.3">
      <c r="D25" s="35"/>
      <c r="E25" s="35"/>
      <c r="F25" s="35"/>
      <c r="G25" s="35"/>
      <c r="H25" s="35"/>
      <c r="I25" s="35"/>
      <c r="J25" s="35"/>
      <c r="K25" s="35"/>
      <c r="L25" s="35"/>
      <c r="M25" s="35"/>
      <c r="N25" s="35"/>
    </row>
    <row r="26" spans="4:14" ht="14.4" customHeight="1" x14ac:dyDescent="0.3">
      <c r="D26" s="35"/>
      <c r="E26" s="35"/>
      <c r="F26" s="35"/>
      <c r="G26" s="35"/>
      <c r="H26" s="35"/>
      <c r="I26" s="35"/>
      <c r="J26" s="35"/>
      <c r="K26" s="35"/>
      <c r="L26" s="35"/>
      <c r="M26" s="35"/>
      <c r="N26" s="35"/>
    </row>
    <row r="27" spans="4:14" ht="14.4" customHeight="1" x14ac:dyDescent="0.3">
      <c r="D27" s="35"/>
      <c r="E27" s="35"/>
      <c r="F27" s="35"/>
      <c r="G27" s="35"/>
      <c r="H27" s="35"/>
      <c r="I27" s="35"/>
      <c r="J27" s="35"/>
      <c r="K27" s="35"/>
      <c r="L27" s="35"/>
      <c r="M27" s="35"/>
      <c r="N27" s="35"/>
    </row>
    <row r="28" spans="4:14" x14ac:dyDescent="0.3">
      <c r="D28" s="35"/>
      <c r="E28" s="35"/>
      <c r="F28" s="35"/>
      <c r="G28" s="35"/>
      <c r="H28" s="35"/>
      <c r="I28" s="35"/>
      <c r="J28" s="35"/>
      <c r="K28" s="35"/>
      <c r="L28" s="35"/>
      <c r="M28" s="35"/>
      <c r="N28" s="35"/>
    </row>
  </sheetData>
  <mergeCells count="3">
    <mergeCell ref="D5:O5"/>
    <mergeCell ref="D10:N18"/>
    <mergeCell ref="D20:N2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E2A3-0ADA-448B-B009-54E6431578CE}">
  <dimension ref="D4:P77"/>
  <sheetViews>
    <sheetView topLeftCell="C38" workbookViewId="0">
      <selection activeCell="L49" sqref="L49"/>
    </sheetView>
  </sheetViews>
  <sheetFormatPr defaultRowHeight="14.4" x14ac:dyDescent="0.3"/>
  <cols>
    <col min="6" max="6" width="16.6640625" bestFit="1" customWidth="1"/>
    <col min="7" max="7" width="16.109375" bestFit="1" customWidth="1"/>
    <col min="8" max="8" width="12.33203125" bestFit="1" customWidth="1"/>
    <col min="10" max="10" width="13.77734375" bestFit="1" customWidth="1"/>
  </cols>
  <sheetData>
    <row r="4" spans="4:16" x14ac:dyDescent="0.3">
      <c r="D4" s="39" t="s">
        <v>29</v>
      </c>
      <c r="E4" s="40"/>
      <c r="F4" s="40"/>
      <c r="G4" s="40"/>
      <c r="H4" s="40"/>
      <c r="I4" s="40"/>
      <c r="J4" s="40"/>
      <c r="K4" s="40"/>
      <c r="L4" s="40"/>
      <c r="M4" s="40"/>
      <c r="N4" s="40"/>
      <c r="O4" s="40"/>
      <c r="P4" s="40"/>
    </row>
    <row r="5" spans="4:16" x14ac:dyDescent="0.3">
      <c r="D5" s="40"/>
      <c r="E5" s="40"/>
      <c r="F5" s="40"/>
      <c r="G5" s="40"/>
      <c r="H5" s="40"/>
      <c r="I5" s="40"/>
      <c r="J5" s="40"/>
      <c r="K5" s="40"/>
      <c r="L5" s="40"/>
      <c r="M5" s="40"/>
      <c r="N5" s="40"/>
      <c r="O5" s="40"/>
      <c r="P5" s="40"/>
    </row>
    <row r="6" spans="4:16" x14ac:dyDescent="0.3">
      <c r="D6" s="40"/>
      <c r="E6" s="40"/>
      <c r="F6" s="40"/>
      <c r="G6" s="40"/>
      <c r="H6" s="40"/>
      <c r="I6" s="40"/>
      <c r="J6" s="40"/>
      <c r="K6" s="40"/>
      <c r="L6" s="40"/>
      <c r="M6" s="40"/>
      <c r="N6" s="40"/>
      <c r="O6" s="40"/>
      <c r="P6" s="40"/>
    </row>
    <row r="7" spans="4:16" x14ac:dyDescent="0.3">
      <c r="D7" s="40"/>
      <c r="E7" s="40"/>
      <c r="F7" s="40"/>
      <c r="G7" s="40"/>
      <c r="H7" s="40"/>
      <c r="I7" s="40"/>
      <c r="J7" s="40"/>
      <c r="K7" s="40"/>
      <c r="L7" s="40"/>
      <c r="M7" s="40"/>
      <c r="N7" s="40"/>
      <c r="O7" s="40"/>
      <c r="P7" s="40"/>
    </row>
    <row r="8" spans="4:16" x14ac:dyDescent="0.3">
      <c r="D8" s="40"/>
      <c r="E8" s="40"/>
      <c r="F8" s="40"/>
      <c r="G8" s="40"/>
      <c r="H8" s="40"/>
      <c r="I8" s="40"/>
      <c r="J8" s="40"/>
      <c r="K8" s="40"/>
      <c r="L8" s="40"/>
      <c r="M8" s="40"/>
      <c r="N8" s="40"/>
      <c r="O8" s="40"/>
      <c r="P8" s="40"/>
    </row>
    <row r="9" spans="4:16" x14ac:dyDescent="0.3">
      <c r="D9" s="40"/>
      <c r="E9" s="40"/>
      <c r="F9" s="40"/>
      <c r="G9" s="40"/>
      <c r="H9" s="40"/>
      <c r="I9" s="40"/>
      <c r="J9" s="40"/>
      <c r="K9" s="40"/>
      <c r="L9" s="40"/>
      <c r="M9" s="40"/>
      <c r="N9" s="40"/>
      <c r="O9" s="40"/>
      <c r="P9" s="40"/>
    </row>
    <row r="10" spans="4:16" x14ac:dyDescent="0.3">
      <c r="D10" s="40"/>
      <c r="E10" s="40"/>
      <c r="F10" s="40"/>
      <c r="G10" s="40"/>
      <c r="H10" s="40"/>
      <c r="I10" s="40"/>
      <c r="J10" s="40"/>
      <c r="K10" s="40"/>
      <c r="L10" s="40"/>
      <c r="M10" s="40"/>
      <c r="N10" s="40"/>
      <c r="O10" s="40"/>
      <c r="P10" s="40"/>
    </row>
    <row r="11" spans="4:16" x14ac:dyDescent="0.3">
      <c r="D11" s="40"/>
      <c r="E11" s="40"/>
      <c r="F11" s="40"/>
      <c r="G11" s="40"/>
      <c r="H11" s="40"/>
      <c r="I11" s="40"/>
      <c r="J11" s="40"/>
      <c r="K11" s="40"/>
      <c r="L11" s="40"/>
      <c r="M11" s="40"/>
      <c r="N11" s="40"/>
      <c r="O11" s="40"/>
      <c r="P11" s="40"/>
    </row>
    <row r="14" spans="4:16" ht="15.6" x14ac:dyDescent="0.3">
      <c r="F14" s="8" t="s">
        <v>30</v>
      </c>
      <c r="G14" s="8" t="s">
        <v>31</v>
      </c>
      <c r="H14" s="8" t="s">
        <v>32</v>
      </c>
      <c r="I14" s="8" t="s">
        <v>33</v>
      </c>
      <c r="J14" s="8" t="s">
        <v>34</v>
      </c>
    </row>
    <row r="15" spans="4:16" ht="15.6" x14ac:dyDescent="0.3">
      <c r="F15" s="9" t="s">
        <v>35</v>
      </c>
      <c r="G15" s="9" t="s">
        <v>44</v>
      </c>
      <c r="H15" s="9" t="s">
        <v>51</v>
      </c>
      <c r="I15" s="9"/>
      <c r="J15" s="9">
        <v>81</v>
      </c>
    </row>
    <row r="16" spans="4:16" ht="15.6" x14ac:dyDescent="0.3">
      <c r="F16" s="9" t="s">
        <v>36</v>
      </c>
      <c r="G16" s="9" t="s">
        <v>45</v>
      </c>
      <c r="H16" s="9" t="s">
        <v>52</v>
      </c>
      <c r="I16" s="9"/>
      <c r="J16" s="9">
        <v>121</v>
      </c>
    </row>
    <row r="17" spans="5:12" ht="15.6" x14ac:dyDescent="0.3">
      <c r="F17" s="9" t="s">
        <v>37</v>
      </c>
      <c r="G17" s="9" t="s">
        <v>46</v>
      </c>
      <c r="H17" s="9" t="s">
        <v>53</v>
      </c>
      <c r="I17" s="9"/>
      <c r="J17" s="9">
        <v>239</v>
      </c>
    </row>
    <row r="18" spans="5:12" ht="15.6" x14ac:dyDescent="0.3">
      <c r="F18" s="9" t="s">
        <v>38</v>
      </c>
      <c r="G18" s="9" t="s">
        <v>44</v>
      </c>
      <c r="H18" s="9" t="s">
        <v>52</v>
      </c>
      <c r="I18" s="9"/>
      <c r="J18" s="9">
        <v>500</v>
      </c>
    </row>
    <row r="19" spans="5:12" ht="15.6" x14ac:dyDescent="0.3">
      <c r="F19" s="9" t="s">
        <v>39</v>
      </c>
      <c r="G19" s="9" t="s">
        <v>47</v>
      </c>
      <c r="H19" s="9" t="s">
        <v>54</v>
      </c>
      <c r="I19" s="9"/>
      <c r="J19" s="9">
        <v>423</v>
      </c>
    </row>
    <row r="20" spans="5:12" ht="15.6" x14ac:dyDescent="0.3">
      <c r="F20" s="9" t="s">
        <v>40</v>
      </c>
      <c r="G20" s="9" t="s">
        <v>48</v>
      </c>
      <c r="H20" s="9" t="s">
        <v>52</v>
      </c>
      <c r="I20" s="9"/>
      <c r="J20" s="9">
        <v>160</v>
      </c>
    </row>
    <row r="21" spans="5:12" ht="15.6" x14ac:dyDescent="0.3">
      <c r="F21" s="9" t="s">
        <v>41</v>
      </c>
      <c r="G21" s="9" t="s">
        <v>49</v>
      </c>
      <c r="H21" s="9" t="s">
        <v>52</v>
      </c>
      <c r="I21" s="9"/>
      <c r="J21" s="9">
        <v>348</v>
      </c>
    </row>
    <row r="22" spans="5:12" ht="15.6" x14ac:dyDescent="0.3">
      <c r="F22" s="9" t="s">
        <v>42</v>
      </c>
      <c r="G22" s="9" t="s">
        <v>49</v>
      </c>
      <c r="H22" s="9" t="s">
        <v>52</v>
      </c>
      <c r="I22" s="9"/>
      <c r="J22" s="9">
        <v>152</v>
      </c>
    </row>
    <row r="23" spans="5:12" ht="15.6" x14ac:dyDescent="0.3">
      <c r="F23" s="9" t="s">
        <v>43</v>
      </c>
      <c r="G23" s="9" t="s">
        <v>50</v>
      </c>
      <c r="H23" s="9" t="s">
        <v>54</v>
      </c>
      <c r="I23" s="9"/>
      <c r="J23" s="9">
        <v>369</v>
      </c>
    </row>
    <row r="27" spans="5:12" ht="15.6" x14ac:dyDescent="0.3">
      <c r="E27" s="41" t="s">
        <v>5</v>
      </c>
      <c r="F27" s="42"/>
      <c r="G27" s="42"/>
      <c r="H27" s="42"/>
      <c r="I27" s="42"/>
      <c r="J27" s="42"/>
    </row>
    <row r="28" spans="5:12" x14ac:dyDescent="0.3">
      <c r="E28" s="42"/>
      <c r="F28" s="42"/>
      <c r="G28" s="42"/>
      <c r="H28" s="42"/>
      <c r="I28" s="42"/>
      <c r="J28" s="42"/>
    </row>
    <row r="29" spans="5:12" ht="15.6" x14ac:dyDescent="0.3">
      <c r="E29" s="42"/>
      <c r="F29" s="43" t="s">
        <v>30</v>
      </c>
      <c r="G29" s="43" t="s">
        <v>31</v>
      </c>
      <c r="H29" s="43" t="s">
        <v>32</v>
      </c>
      <c r="I29" s="43" t="s">
        <v>33</v>
      </c>
      <c r="J29" s="43" t="s">
        <v>34</v>
      </c>
    </row>
    <row r="30" spans="5:12" ht="15.6" x14ac:dyDescent="0.3">
      <c r="E30" s="42"/>
      <c r="F30" s="44" t="s">
        <v>35</v>
      </c>
      <c r="G30" s="44" t="s">
        <v>44</v>
      </c>
      <c r="H30" s="44" t="s">
        <v>51</v>
      </c>
      <c r="I30" s="44"/>
      <c r="J30" s="44">
        <v>81</v>
      </c>
    </row>
    <row r="31" spans="5:12" ht="15.6" x14ac:dyDescent="0.3">
      <c r="E31" s="42"/>
      <c r="F31" s="44" t="s">
        <v>36</v>
      </c>
      <c r="G31" s="44" t="s">
        <v>45</v>
      </c>
      <c r="H31" s="44" t="s">
        <v>52</v>
      </c>
      <c r="I31" s="44"/>
      <c r="J31" s="44">
        <v>121</v>
      </c>
    </row>
    <row r="32" spans="5:12" ht="15.6" x14ac:dyDescent="0.3">
      <c r="E32" s="42"/>
      <c r="F32" s="44" t="s">
        <v>37</v>
      </c>
      <c r="G32" s="44" t="s">
        <v>46</v>
      </c>
      <c r="H32" s="44" t="s">
        <v>53</v>
      </c>
      <c r="I32" s="44"/>
      <c r="J32" s="44">
        <v>239</v>
      </c>
      <c r="L32" s="10"/>
    </row>
    <row r="33" spans="5:12" ht="15.6" x14ac:dyDescent="0.3">
      <c r="E33" s="42"/>
      <c r="F33" s="44" t="s">
        <v>38</v>
      </c>
      <c r="G33" s="44" t="s">
        <v>44</v>
      </c>
      <c r="H33" s="44" t="s">
        <v>52</v>
      </c>
      <c r="I33" s="44"/>
      <c r="J33" s="44">
        <v>500</v>
      </c>
      <c r="L33" s="10"/>
    </row>
    <row r="34" spans="5:12" ht="15.6" x14ac:dyDescent="0.3">
      <c r="E34" s="42"/>
      <c r="F34" s="44" t="s">
        <v>39</v>
      </c>
      <c r="G34" s="44" t="s">
        <v>47</v>
      </c>
      <c r="H34" s="44" t="s">
        <v>54</v>
      </c>
      <c r="I34" s="44"/>
      <c r="J34" s="44">
        <v>423</v>
      </c>
    </row>
    <row r="35" spans="5:12" ht="15.6" x14ac:dyDescent="0.3">
      <c r="E35" s="42"/>
      <c r="F35" s="44" t="s">
        <v>40</v>
      </c>
      <c r="G35" s="44" t="s">
        <v>48</v>
      </c>
      <c r="H35" s="44" t="s">
        <v>52</v>
      </c>
      <c r="I35" s="44"/>
      <c r="J35" s="44">
        <v>160</v>
      </c>
    </row>
    <row r="36" spans="5:12" ht="15.6" x14ac:dyDescent="0.3">
      <c r="E36" s="45"/>
      <c r="F36" s="44" t="s">
        <v>41</v>
      </c>
      <c r="G36" s="44" t="s">
        <v>49</v>
      </c>
      <c r="H36" s="44" t="s">
        <v>52</v>
      </c>
      <c r="I36" s="44"/>
      <c r="J36" s="44">
        <v>348</v>
      </c>
    </row>
    <row r="37" spans="5:12" ht="15.6" x14ac:dyDescent="0.3">
      <c r="E37" s="42"/>
      <c r="F37" s="44" t="s">
        <v>42</v>
      </c>
      <c r="G37" s="44" t="s">
        <v>49</v>
      </c>
      <c r="H37" s="44" t="s">
        <v>52</v>
      </c>
      <c r="I37" s="44"/>
      <c r="J37" s="44">
        <v>152</v>
      </c>
    </row>
    <row r="38" spans="5:12" ht="15.6" x14ac:dyDescent="0.3">
      <c r="E38" s="42"/>
      <c r="F38" s="44" t="s">
        <v>43</v>
      </c>
      <c r="G38" s="44" t="s">
        <v>50</v>
      </c>
      <c r="H38" s="44" t="s">
        <v>54</v>
      </c>
      <c r="I38" s="44"/>
      <c r="J38" s="44">
        <v>369</v>
      </c>
    </row>
    <row r="39" spans="5:12" x14ac:dyDescent="0.3">
      <c r="E39" s="42"/>
      <c r="F39" s="42"/>
      <c r="G39" s="42"/>
      <c r="H39" s="42"/>
      <c r="I39" s="42"/>
      <c r="J39" s="42"/>
    </row>
    <row r="40" spans="5:12" x14ac:dyDescent="0.3">
      <c r="E40" s="42"/>
      <c r="F40" s="42"/>
      <c r="G40" s="42"/>
      <c r="H40" s="42"/>
      <c r="I40" s="42"/>
      <c r="J40" s="42"/>
    </row>
    <row r="41" spans="5:12" ht="14.4" customHeight="1" x14ac:dyDescent="0.3">
      <c r="E41" s="42"/>
      <c r="F41" s="39" t="s">
        <v>55</v>
      </c>
      <c r="G41" s="39"/>
      <c r="H41" s="39"/>
      <c r="I41" s="39"/>
      <c r="J41" s="39"/>
    </row>
    <row r="42" spans="5:12" ht="14.4" customHeight="1" x14ac:dyDescent="0.3">
      <c r="E42" s="42"/>
      <c r="F42" s="39"/>
      <c r="G42" s="39"/>
      <c r="H42" s="39"/>
      <c r="I42" s="39"/>
      <c r="J42" s="39"/>
    </row>
    <row r="43" spans="5:12" ht="14.4" customHeight="1" x14ac:dyDescent="0.3">
      <c r="E43" s="42"/>
      <c r="F43" s="39"/>
      <c r="G43" s="39"/>
      <c r="H43" s="39"/>
      <c r="I43" s="39"/>
      <c r="J43" s="39"/>
    </row>
    <row r="44" spans="5:12" ht="14.4" customHeight="1" x14ac:dyDescent="0.3">
      <c r="E44" s="42"/>
      <c r="F44" s="39"/>
      <c r="G44" s="39"/>
      <c r="H44" s="39"/>
      <c r="I44" s="39"/>
      <c r="J44" s="39"/>
    </row>
    <row r="45" spans="5:12" ht="14.4" customHeight="1" x14ac:dyDescent="0.3">
      <c r="E45" s="42"/>
      <c r="F45" s="39"/>
      <c r="G45" s="39"/>
      <c r="H45" s="39"/>
      <c r="I45" s="39"/>
      <c r="J45" s="39"/>
    </row>
    <row r="46" spans="5:12" ht="14.4" customHeight="1" x14ac:dyDescent="0.3">
      <c r="E46" s="42"/>
      <c r="F46" s="39"/>
      <c r="G46" s="39"/>
      <c r="H46" s="39"/>
      <c r="I46" s="39"/>
      <c r="J46" s="39"/>
    </row>
    <row r="47" spans="5:12" ht="14.4" customHeight="1" x14ac:dyDescent="0.3">
      <c r="E47" s="42"/>
      <c r="F47" s="39"/>
      <c r="G47" s="39"/>
      <c r="H47" s="39"/>
      <c r="I47" s="39"/>
      <c r="J47" s="39"/>
    </row>
    <row r="48" spans="5:12" ht="14.4" customHeight="1" x14ac:dyDescent="0.3">
      <c r="E48" s="42"/>
      <c r="F48" s="39"/>
      <c r="G48" s="39"/>
      <c r="H48" s="39"/>
      <c r="I48" s="39"/>
      <c r="J48" s="39"/>
    </row>
    <row r="49" spans="5:10" ht="14.4" customHeight="1" x14ac:dyDescent="0.3">
      <c r="E49" s="42"/>
      <c r="F49" s="39"/>
      <c r="G49" s="39"/>
      <c r="H49" s="39"/>
      <c r="I49" s="39"/>
      <c r="J49" s="39"/>
    </row>
    <row r="50" spans="5:10" ht="14.4" customHeight="1" x14ac:dyDescent="0.3">
      <c r="E50" s="42"/>
      <c r="F50" s="39"/>
      <c r="G50" s="39"/>
      <c r="H50" s="39"/>
      <c r="I50" s="39"/>
      <c r="J50" s="39"/>
    </row>
    <row r="51" spans="5:10" ht="14.4" customHeight="1" x14ac:dyDescent="0.3">
      <c r="E51" s="42"/>
      <c r="F51" s="39"/>
      <c r="G51" s="39"/>
      <c r="H51" s="39"/>
      <c r="I51" s="39"/>
      <c r="J51" s="39"/>
    </row>
    <row r="52" spans="5:10" ht="14.4" customHeight="1" x14ac:dyDescent="0.3">
      <c r="E52" s="42"/>
      <c r="F52" s="39"/>
      <c r="G52" s="39"/>
      <c r="H52" s="39"/>
      <c r="I52" s="39"/>
      <c r="J52" s="39"/>
    </row>
    <row r="53" spans="5:10" ht="14.4" customHeight="1" x14ac:dyDescent="0.3">
      <c r="E53" s="42"/>
      <c r="F53" s="39"/>
      <c r="G53" s="39"/>
      <c r="H53" s="39"/>
      <c r="I53" s="39"/>
      <c r="J53" s="39"/>
    </row>
    <row r="54" spans="5:10" ht="14.4" customHeight="1" x14ac:dyDescent="0.3">
      <c r="E54" s="42"/>
      <c r="F54" s="39"/>
      <c r="G54" s="39"/>
      <c r="H54" s="39"/>
      <c r="I54" s="39"/>
      <c r="J54" s="39"/>
    </row>
    <row r="55" spans="5:10" ht="14.4" customHeight="1" x14ac:dyDescent="0.3">
      <c r="E55" s="42"/>
      <c r="F55" s="39"/>
      <c r="G55" s="39"/>
      <c r="H55" s="39"/>
      <c r="I55" s="39"/>
      <c r="J55" s="39"/>
    </row>
    <row r="56" spans="5:10" ht="14.4" customHeight="1" x14ac:dyDescent="0.3">
      <c r="E56" s="42"/>
      <c r="F56" s="39"/>
      <c r="G56" s="39"/>
      <c r="H56" s="39"/>
      <c r="I56" s="39"/>
      <c r="J56" s="39"/>
    </row>
    <row r="57" spans="5:10" ht="14.4" customHeight="1" x14ac:dyDescent="0.3">
      <c r="E57" s="42"/>
      <c r="F57" s="39"/>
      <c r="G57" s="39"/>
      <c r="H57" s="39"/>
      <c r="I57" s="39"/>
      <c r="J57" s="39"/>
    </row>
    <row r="58" spans="5:10" ht="14.4" customHeight="1" x14ac:dyDescent="0.3">
      <c r="E58" s="42"/>
      <c r="F58" s="39"/>
      <c r="G58" s="39"/>
      <c r="H58" s="39"/>
      <c r="I58" s="39"/>
      <c r="J58" s="39"/>
    </row>
    <row r="59" spans="5:10" ht="14.4" customHeight="1" x14ac:dyDescent="0.3">
      <c r="E59" s="42"/>
      <c r="F59" s="39"/>
      <c r="G59" s="39"/>
      <c r="H59" s="39"/>
      <c r="I59" s="39"/>
      <c r="J59" s="39"/>
    </row>
    <row r="60" spans="5:10" ht="14.4" customHeight="1" x14ac:dyDescent="0.3">
      <c r="E60" s="42"/>
      <c r="F60" s="39"/>
      <c r="G60" s="39"/>
      <c r="H60" s="39"/>
      <c r="I60" s="39"/>
      <c r="J60" s="39"/>
    </row>
    <row r="61" spans="5:10" ht="14.4" customHeight="1" x14ac:dyDescent="0.3">
      <c r="E61" s="42"/>
      <c r="F61" s="39"/>
      <c r="G61" s="39"/>
      <c r="H61" s="39"/>
      <c r="I61" s="39"/>
      <c r="J61" s="39"/>
    </row>
    <row r="62" spans="5:10" ht="14.4" customHeight="1" x14ac:dyDescent="0.3">
      <c r="E62" s="42"/>
      <c r="F62" s="39"/>
      <c r="G62" s="39"/>
      <c r="H62" s="39"/>
      <c r="I62" s="39"/>
      <c r="J62" s="39"/>
    </row>
    <row r="63" spans="5:10" ht="14.4" customHeight="1" x14ac:dyDescent="0.3">
      <c r="F63" s="2"/>
      <c r="G63" s="2"/>
      <c r="H63" s="2"/>
      <c r="I63" s="2"/>
      <c r="J63" s="2"/>
    </row>
    <row r="64" spans="5:10" ht="14.4" customHeight="1" x14ac:dyDescent="0.3">
      <c r="F64" s="2"/>
      <c r="G64" s="2"/>
      <c r="H64" s="2"/>
      <c r="I64" s="2"/>
      <c r="J64" s="2"/>
    </row>
    <row r="65" spans="6:10" ht="14.4" customHeight="1" x14ac:dyDescent="0.3">
      <c r="F65" s="2"/>
      <c r="G65" s="2"/>
      <c r="H65" s="2"/>
      <c r="I65" s="2"/>
      <c r="J65" s="2"/>
    </row>
    <row r="66" spans="6:10" ht="14.4" customHeight="1" x14ac:dyDescent="0.3">
      <c r="F66" s="2"/>
      <c r="G66" s="2"/>
      <c r="H66" s="2"/>
      <c r="I66" s="2"/>
      <c r="J66" s="2"/>
    </row>
    <row r="67" spans="6:10" ht="14.4" customHeight="1" x14ac:dyDescent="0.3">
      <c r="F67" s="2"/>
      <c r="G67" s="2"/>
      <c r="H67" s="2"/>
      <c r="I67" s="2"/>
      <c r="J67" s="2"/>
    </row>
    <row r="68" spans="6:10" ht="14.4" customHeight="1" x14ac:dyDescent="0.3">
      <c r="F68" s="2"/>
      <c r="G68" s="2"/>
      <c r="H68" s="2"/>
      <c r="I68" s="2"/>
      <c r="J68" s="2"/>
    </row>
    <row r="69" spans="6:10" ht="14.4" customHeight="1" x14ac:dyDescent="0.3">
      <c r="F69" s="2"/>
      <c r="G69" s="2"/>
      <c r="H69" s="2"/>
      <c r="I69" s="2"/>
      <c r="J69" s="2"/>
    </row>
    <row r="70" spans="6:10" ht="14.4" customHeight="1" x14ac:dyDescent="0.3">
      <c r="F70" s="2"/>
      <c r="G70" s="2"/>
      <c r="H70" s="2"/>
      <c r="I70" s="2"/>
      <c r="J70" s="2"/>
    </row>
    <row r="71" spans="6:10" ht="14.4" customHeight="1" x14ac:dyDescent="0.3">
      <c r="F71" s="2"/>
      <c r="G71" s="2"/>
      <c r="H71" s="2"/>
      <c r="I71" s="2"/>
      <c r="J71" s="2"/>
    </row>
    <row r="72" spans="6:10" ht="14.4" customHeight="1" x14ac:dyDescent="0.3">
      <c r="F72" s="2"/>
      <c r="G72" s="2"/>
      <c r="H72" s="2"/>
      <c r="I72" s="2"/>
      <c r="J72" s="2"/>
    </row>
    <row r="73" spans="6:10" ht="14.4" customHeight="1" x14ac:dyDescent="0.3">
      <c r="F73" s="2"/>
      <c r="G73" s="2"/>
      <c r="H73" s="2"/>
      <c r="I73" s="2"/>
      <c r="J73" s="2"/>
    </row>
    <row r="74" spans="6:10" ht="14.4" customHeight="1" x14ac:dyDescent="0.3">
      <c r="F74" s="2"/>
      <c r="G74" s="2"/>
      <c r="H74" s="2"/>
      <c r="I74" s="2"/>
      <c r="J74" s="2"/>
    </row>
    <row r="75" spans="6:10" ht="14.4" customHeight="1" x14ac:dyDescent="0.3">
      <c r="F75" s="2"/>
      <c r="G75" s="2"/>
      <c r="H75" s="2"/>
      <c r="I75" s="2"/>
      <c r="J75" s="2"/>
    </row>
    <row r="76" spans="6:10" ht="14.4" customHeight="1" x14ac:dyDescent="0.3">
      <c r="F76" s="2"/>
      <c r="G76" s="2"/>
      <c r="H76" s="2"/>
      <c r="I76" s="2"/>
      <c r="J76" s="2"/>
    </row>
    <row r="77" spans="6:10" ht="14.4" customHeight="1" x14ac:dyDescent="0.3">
      <c r="F77" s="2"/>
      <c r="G77" s="2"/>
      <c r="H77" s="2"/>
      <c r="I77" s="2"/>
      <c r="J77" s="2"/>
    </row>
  </sheetData>
  <mergeCells count="2">
    <mergeCell ref="D4:P11"/>
    <mergeCell ref="F41:J62"/>
  </mergeCells>
  <dataValidations count="1">
    <dataValidation type="whole" allowBlank="1" showInputMessage="1" showErrorMessage="1" errorTitle="Invalid Input" error="The quantity must be a whole number between 1 and 10._x000a_" promptTitle="Quantity" prompt="Please enter a whole number between 1 and 10._x000a_" sqref="I30:I38" xr:uid="{0C69B322-2BC5-4E81-9B72-EBB27CC4FD61}">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5B3D5-B8ED-4D15-9690-943F89E272D9}">
  <dimension ref="C4:L39"/>
  <sheetViews>
    <sheetView topLeftCell="B19" workbookViewId="0">
      <selection activeCell="F25" sqref="F25"/>
    </sheetView>
  </sheetViews>
  <sheetFormatPr defaultRowHeight="14.4" x14ac:dyDescent="0.3"/>
  <cols>
    <col min="4" max="4" width="19.88671875" bestFit="1" customWidth="1"/>
  </cols>
  <sheetData>
    <row r="4" spans="3:12" x14ac:dyDescent="0.3">
      <c r="C4" s="24" t="s">
        <v>56</v>
      </c>
      <c r="D4" s="24"/>
      <c r="E4" s="24"/>
      <c r="F4" s="24"/>
      <c r="G4" s="24"/>
      <c r="H4" s="24"/>
      <c r="I4" s="24"/>
      <c r="J4" s="24"/>
      <c r="K4" s="24"/>
    </row>
    <row r="5" spans="3:12" x14ac:dyDescent="0.3">
      <c r="C5" s="24"/>
      <c r="D5" s="24"/>
      <c r="E5" s="24"/>
      <c r="F5" s="24"/>
      <c r="G5" s="24"/>
      <c r="H5" s="24"/>
      <c r="I5" s="24"/>
      <c r="J5" s="24"/>
      <c r="K5" s="24"/>
    </row>
    <row r="7" spans="3:12" x14ac:dyDescent="0.3">
      <c r="C7" s="36" t="s">
        <v>57</v>
      </c>
      <c r="D7" s="36"/>
      <c r="E7" s="36"/>
      <c r="F7" s="36"/>
      <c r="G7" s="36"/>
      <c r="H7" s="36"/>
      <c r="I7" s="36"/>
      <c r="J7" s="36"/>
      <c r="K7" s="36"/>
      <c r="L7" s="36"/>
    </row>
    <row r="8" spans="3:12" x14ac:dyDescent="0.3">
      <c r="C8" s="36"/>
      <c r="D8" s="36"/>
      <c r="E8" s="36"/>
      <c r="F8" s="36"/>
      <c r="G8" s="36"/>
      <c r="H8" s="36"/>
      <c r="I8" s="36"/>
      <c r="J8" s="36"/>
      <c r="K8" s="36"/>
      <c r="L8" s="36"/>
    </row>
    <row r="11" spans="3:12" ht="15.6" x14ac:dyDescent="0.3">
      <c r="D11" s="7" t="s">
        <v>58</v>
      </c>
      <c r="F11" s="11" t="str">
        <f>LEFT(D11,5)</f>
        <v>Excel</v>
      </c>
    </row>
    <row r="14" spans="3:12" x14ac:dyDescent="0.3">
      <c r="C14" s="36" t="s">
        <v>59</v>
      </c>
      <c r="D14" s="36"/>
      <c r="E14" s="36"/>
      <c r="F14" s="36"/>
      <c r="G14" s="36"/>
      <c r="H14" s="36"/>
      <c r="I14" s="36"/>
      <c r="J14" s="36"/>
      <c r="K14" s="36"/>
      <c r="L14" s="36"/>
    </row>
    <row r="15" spans="3:12" x14ac:dyDescent="0.3">
      <c r="C15" s="36"/>
      <c r="D15" s="36"/>
      <c r="E15" s="36"/>
      <c r="F15" s="36"/>
      <c r="G15" s="36"/>
      <c r="H15" s="36"/>
      <c r="I15" s="36"/>
      <c r="J15" s="36"/>
      <c r="K15" s="36"/>
      <c r="L15" s="36"/>
    </row>
    <row r="18" spans="3:12" ht="15.6" x14ac:dyDescent="0.3">
      <c r="D18" s="7" t="s">
        <v>60</v>
      </c>
      <c r="F18" s="11" t="str">
        <f>RIGHT(D18,4)</f>
        <v>xlsx</v>
      </c>
    </row>
    <row r="21" spans="3:12" x14ac:dyDescent="0.3">
      <c r="C21" s="36" t="s">
        <v>61</v>
      </c>
      <c r="D21" s="36"/>
      <c r="E21" s="36"/>
      <c r="F21" s="36"/>
      <c r="G21" s="36"/>
      <c r="H21" s="36"/>
      <c r="I21" s="36"/>
      <c r="J21" s="36"/>
      <c r="K21" s="36"/>
      <c r="L21" s="36"/>
    </row>
    <row r="22" spans="3:12" x14ac:dyDescent="0.3">
      <c r="C22" s="36"/>
      <c r="D22" s="36"/>
      <c r="E22" s="36"/>
      <c r="F22" s="36"/>
      <c r="G22" s="36"/>
      <c r="H22" s="36"/>
      <c r="I22" s="36"/>
      <c r="J22" s="36"/>
      <c r="K22" s="36"/>
      <c r="L22" s="36"/>
    </row>
    <row r="25" spans="3:12" ht="15.6" x14ac:dyDescent="0.3">
      <c r="D25" s="7" t="s">
        <v>58</v>
      </c>
      <c r="F25" s="11" t="str">
        <f>MID(D25,6,4)</f>
        <v>Tips</v>
      </c>
    </row>
    <row r="28" spans="3:12" x14ac:dyDescent="0.3">
      <c r="C28" s="36" t="s">
        <v>62</v>
      </c>
      <c r="D28" s="36"/>
      <c r="E28" s="36"/>
      <c r="F28" s="36"/>
      <c r="G28" s="36"/>
      <c r="H28" s="36"/>
      <c r="I28" s="36"/>
      <c r="J28" s="36"/>
      <c r="K28" s="36"/>
      <c r="L28" s="36"/>
    </row>
    <row r="29" spans="3:12" x14ac:dyDescent="0.3">
      <c r="C29" s="36"/>
      <c r="D29" s="36"/>
      <c r="E29" s="36"/>
      <c r="F29" s="36"/>
      <c r="G29" s="36"/>
      <c r="H29" s="36"/>
      <c r="I29" s="36"/>
      <c r="J29" s="36"/>
      <c r="K29" s="36"/>
      <c r="L29" s="36"/>
    </row>
    <row r="32" spans="3:12" ht="15.6" x14ac:dyDescent="0.3">
      <c r="D32" s="7" t="s">
        <v>63</v>
      </c>
      <c r="F32" s="11">
        <f>LEN(D32)</f>
        <v>12</v>
      </c>
    </row>
    <row r="35" spans="3:12" x14ac:dyDescent="0.3">
      <c r="C35" s="36" t="s">
        <v>64</v>
      </c>
      <c r="D35" s="36"/>
      <c r="E35" s="36"/>
      <c r="F35" s="36"/>
      <c r="G35" s="36"/>
      <c r="H35" s="36"/>
      <c r="I35" s="36"/>
      <c r="J35" s="36"/>
      <c r="K35" s="36"/>
      <c r="L35" s="36"/>
    </row>
    <row r="36" spans="3:12" x14ac:dyDescent="0.3">
      <c r="C36" s="36"/>
      <c r="D36" s="36"/>
      <c r="E36" s="36"/>
      <c r="F36" s="36"/>
      <c r="G36" s="36"/>
      <c r="H36" s="36"/>
      <c r="I36" s="36"/>
      <c r="J36" s="36"/>
      <c r="K36" s="36"/>
      <c r="L36" s="36"/>
    </row>
    <row r="39" spans="3:12" ht="15.6" x14ac:dyDescent="0.3">
      <c r="D39" s="7" t="s">
        <v>65</v>
      </c>
      <c r="F39" s="11" t="str">
        <f>MID(D39,6,6)</f>
        <v>-67890</v>
      </c>
    </row>
  </sheetData>
  <mergeCells count="6">
    <mergeCell ref="C35:L36"/>
    <mergeCell ref="C4:K5"/>
    <mergeCell ref="C7:L8"/>
    <mergeCell ref="C14:L15"/>
    <mergeCell ref="C21:L22"/>
    <mergeCell ref="C28:L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C131-B1A5-40AF-A638-7DE432AB8C5F}">
  <dimension ref="B4:O50"/>
  <sheetViews>
    <sheetView workbookViewId="0">
      <selection activeCell="F12" sqref="F12"/>
    </sheetView>
  </sheetViews>
  <sheetFormatPr defaultRowHeight="14.4" x14ac:dyDescent="0.3"/>
  <cols>
    <col min="3" max="3" width="15.33203125" bestFit="1" customWidth="1"/>
    <col min="4" max="4" width="10.33203125" bestFit="1" customWidth="1"/>
    <col min="5" max="5" width="35.5546875" bestFit="1" customWidth="1"/>
    <col min="6" max="6" width="17" bestFit="1" customWidth="1"/>
  </cols>
  <sheetData>
    <row r="4" spans="2:12" x14ac:dyDescent="0.3">
      <c r="B4" s="36" t="s">
        <v>66</v>
      </c>
      <c r="C4" s="36"/>
      <c r="D4" s="36"/>
      <c r="E4" s="36"/>
      <c r="F4" s="36"/>
      <c r="G4" s="36"/>
      <c r="H4" s="36"/>
      <c r="I4" s="36"/>
      <c r="J4" s="36"/>
      <c r="K4" s="36"/>
      <c r="L4" s="36"/>
    </row>
    <row r="5" spans="2:12" x14ac:dyDescent="0.3">
      <c r="B5" s="36"/>
      <c r="C5" s="36"/>
      <c r="D5" s="36"/>
      <c r="E5" s="36"/>
      <c r="F5" s="36"/>
      <c r="G5" s="36"/>
      <c r="H5" s="36"/>
      <c r="I5" s="36"/>
      <c r="J5" s="36"/>
      <c r="K5" s="36"/>
      <c r="L5" s="36"/>
    </row>
    <row r="8" spans="2:12" x14ac:dyDescent="0.3">
      <c r="B8" s="36" t="s">
        <v>67</v>
      </c>
      <c r="C8" s="36"/>
      <c r="D8" s="36"/>
      <c r="E8" s="36"/>
      <c r="F8" s="36"/>
      <c r="G8" s="36"/>
      <c r="H8" s="36"/>
      <c r="I8" s="36"/>
      <c r="J8" s="36"/>
      <c r="K8" s="36"/>
      <c r="L8" s="36"/>
    </row>
    <row r="9" spans="2:12" x14ac:dyDescent="0.3">
      <c r="B9" s="36"/>
      <c r="C9" s="36"/>
      <c r="D9" s="36"/>
      <c r="E9" s="36"/>
      <c r="F9" s="36"/>
      <c r="G9" s="36"/>
      <c r="H9" s="36"/>
      <c r="I9" s="36"/>
      <c r="J9" s="36"/>
      <c r="K9" s="36"/>
      <c r="L9" s="36"/>
    </row>
    <row r="12" spans="2:12" ht="15.6" x14ac:dyDescent="0.3">
      <c r="C12" s="7" t="s">
        <v>68</v>
      </c>
      <c r="D12" s="7" t="s">
        <v>69</v>
      </c>
      <c r="E12" s="10"/>
      <c r="F12" s="11" t="str">
        <f>_xlfn.CONCAT(C12," ",D12)</f>
        <v>Hello World</v>
      </c>
      <c r="G12" s="10"/>
    </row>
    <row r="15" spans="2:12" ht="14.4" customHeight="1" x14ac:dyDescent="0.3">
      <c r="B15" s="36" t="s">
        <v>70</v>
      </c>
      <c r="C15" s="36"/>
      <c r="D15" s="36"/>
      <c r="E15" s="36"/>
      <c r="F15" s="36"/>
      <c r="G15" s="36"/>
      <c r="H15" s="36"/>
      <c r="I15" s="36"/>
      <c r="J15" s="36"/>
      <c r="K15" s="36"/>
      <c r="L15" s="36"/>
    </row>
    <row r="16" spans="2:12" ht="14.4" customHeight="1" x14ac:dyDescent="0.3">
      <c r="B16" s="36"/>
      <c r="C16" s="36"/>
      <c r="D16" s="36"/>
      <c r="E16" s="36"/>
      <c r="F16" s="36"/>
      <c r="G16" s="36"/>
      <c r="H16" s="36"/>
      <c r="I16" s="36"/>
      <c r="J16" s="36"/>
      <c r="K16" s="36"/>
      <c r="L16" s="36"/>
    </row>
    <row r="19" spans="2:15" ht="15.6" x14ac:dyDescent="0.3">
      <c r="C19" s="7" t="s">
        <v>71</v>
      </c>
      <c r="D19" s="10"/>
      <c r="E19" s="11" t="str">
        <f>_xlfn.TEXTJOIN(",",TRUE,C19:C21)</f>
        <v>Apple,Banana,Cherry</v>
      </c>
    </row>
    <row r="20" spans="2:15" ht="15.6" x14ac:dyDescent="0.3">
      <c r="C20" s="7" t="s">
        <v>72</v>
      </c>
      <c r="D20" s="10"/>
      <c r="E20" s="10"/>
    </row>
    <row r="21" spans="2:15" ht="15.6" x14ac:dyDescent="0.3">
      <c r="C21" s="7" t="s">
        <v>73</v>
      </c>
      <c r="D21" s="10"/>
      <c r="E21" s="10"/>
    </row>
    <row r="24" spans="2:15" x14ac:dyDescent="0.3">
      <c r="B24" s="26" t="s">
        <v>74</v>
      </c>
      <c r="C24" s="36"/>
      <c r="D24" s="36"/>
      <c r="E24" s="36"/>
      <c r="F24" s="36"/>
      <c r="G24" s="36"/>
      <c r="H24" s="36"/>
      <c r="I24" s="36"/>
      <c r="J24" s="36"/>
      <c r="K24" s="36"/>
      <c r="L24" s="36"/>
      <c r="M24" s="36"/>
      <c r="N24" s="36"/>
      <c r="O24" s="36"/>
    </row>
    <row r="25" spans="2:15" x14ac:dyDescent="0.3">
      <c r="B25" s="36"/>
      <c r="C25" s="36"/>
      <c r="D25" s="36"/>
      <c r="E25" s="36"/>
      <c r="F25" s="36"/>
      <c r="G25" s="36"/>
      <c r="H25" s="36"/>
      <c r="I25" s="36"/>
      <c r="J25" s="36"/>
      <c r="K25" s="36"/>
      <c r="L25" s="36"/>
      <c r="M25" s="36"/>
      <c r="N25" s="36"/>
      <c r="O25" s="36"/>
    </row>
    <row r="29" spans="2:15" ht="15.6" x14ac:dyDescent="0.3">
      <c r="C29" s="7">
        <v>2025</v>
      </c>
      <c r="D29" s="10"/>
      <c r="E29" s="11" t="str">
        <f>C29&amp;":"&amp;C30</f>
        <v>2025:Excel Functions</v>
      </c>
    </row>
    <row r="30" spans="2:15" ht="15.6" x14ac:dyDescent="0.3">
      <c r="C30" s="7" t="s">
        <v>75</v>
      </c>
      <c r="D30" s="10"/>
      <c r="E30" s="10"/>
    </row>
    <row r="33" spans="2:12" x14ac:dyDescent="0.3">
      <c r="B33" s="36" t="s">
        <v>76</v>
      </c>
      <c r="C33" s="36"/>
      <c r="D33" s="36"/>
      <c r="E33" s="36"/>
      <c r="F33" s="36"/>
      <c r="G33" s="36"/>
      <c r="H33" s="36"/>
      <c r="I33" s="36"/>
      <c r="J33" s="36"/>
      <c r="K33" s="36"/>
      <c r="L33" s="36"/>
    </row>
    <row r="34" spans="2:12" x14ac:dyDescent="0.3">
      <c r="B34" s="36"/>
      <c r="C34" s="36"/>
      <c r="D34" s="36"/>
      <c r="E34" s="36"/>
      <c r="F34" s="36"/>
      <c r="G34" s="36"/>
      <c r="H34" s="36"/>
      <c r="I34" s="36"/>
      <c r="J34" s="36"/>
      <c r="K34" s="36"/>
      <c r="L34" s="36"/>
    </row>
    <row r="37" spans="2:12" ht="15.6" x14ac:dyDescent="0.3">
      <c r="C37" s="7" t="s">
        <v>71</v>
      </c>
      <c r="E37" s="11" t="str">
        <f>_xlfn.TEXTJOIN(",",TRUE,C37:C41)</f>
        <v>Apple,Banana,Cherry,Mango,Orange</v>
      </c>
    </row>
    <row r="38" spans="2:12" ht="15.6" x14ac:dyDescent="0.3">
      <c r="C38" s="7" t="s">
        <v>72</v>
      </c>
    </row>
    <row r="39" spans="2:12" ht="15.6" x14ac:dyDescent="0.3">
      <c r="C39" s="7" t="s">
        <v>73</v>
      </c>
    </row>
    <row r="40" spans="2:12" ht="15.6" x14ac:dyDescent="0.3">
      <c r="C40" s="7" t="s">
        <v>77</v>
      </c>
    </row>
    <row r="41" spans="2:12" ht="15.6" x14ac:dyDescent="0.3">
      <c r="C41" s="7" t="s">
        <v>78</v>
      </c>
    </row>
    <row r="44" spans="2:12" x14ac:dyDescent="0.3">
      <c r="B44" s="36" t="s">
        <v>79</v>
      </c>
      <c r="C44" s="36"/>
      <c r="D44" s="36"/>
      <c r="E44" s="36"/>
      <c r="F44" s="36"/>
      <c r="G44" s="36"/>
      <c r="H44" s="36"/>
      <c r="I44" s="36"/>
      <c r="J44" s="36"/>
    </row>
    <row r="45" spans="2:12" x14ac:dyDescent="0.3">
      <c r="B45" s="36"/>
      <c r="C45" s="36"/>
      <c r="D45" s="36"/>
      <c r="E45" s="36"/>
      <c r="F45" s="36"/>
      <c r="G45" s="36"/>
      <c r="H45" s="36"/>
      <c r="I45" s="36"/>
      <c r="J45" s="36"/>
    </row>
    <row r="48" spans="2:12" ht="15.6" x14ac:dyDescent="0.3">
      <c r="C48" s="7" t="s">
        <v>82</v>
      </c>
      <c r="D48" s="7" t="s">
        <v>83</v>
      </c>
      <c r="E48" s="10"/>
      <c r="F48" s="11" t="str">
        <f>C48&amp;" "&amp;D48</f>
        <v>Rohit  Sharma</v>
      </c>
    </row>
    <row r="49" spans="3:6" ht="15.6" x14ac:dyDescent="0.3">
      <c r="C49" s="7" t="s">
        <v>80</v>
      </c>
      <c r="D49" s="7" t="s">
        <v>84</v>
      </c>
      <c r="E49" s="10"/>
      <c r="F49" s="11" t="str">
        <f t="shared" ref="F49:F50" si="0">C49&amp;" "&amp;D49</f>
        <v>Virat Kohli</v>
      </c>
    </row>
    <row r="50" spans="3:6" ht="15.6" x14ac:dyDescent="0.3">
      <c r="C50" s="7" t="s">
        <v>81</v>
      </c>
      <c r="D50" s="7" t="s">
        <v>85</v>
      </c>
      <c r="E50" s="10"/>
      <c r="F50" s="11" t="str">
        <f t="shared" si="0"/>
        <v>Sachin Tendulkar</v>
      </c>
    </row>
  </sheetData>
  <mergeCells count="6">
    <mergeCell ref="B33:L34"/>
    <mergeCell ref="B44:J45"/>
    <mergeCell ref="B4:L5"/>
    <mergeCell ref="B8:L9"/>
    <mergeCell ref="B15:L16"/>
    <mergeCell ref="B24:O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9A16-910D-4F1B-B453-0CE43EF0CA65}">
  <dimension ref="C4:N49"/>
  <sheetViews>
    <sheetView tabSelected="1" topLeftCell="A28" workbookViewId="0">
      <selection activeCell="C16" sqref="C16"/>
    </sheetView>
  </sheetViews>
  <sheetFormatPr defaultRowHeight="14.4" x14ac:dyDescent="0.3"/>
  <cols>
    <col min="3" max="3" width="16.5546875" bestFit="1" customWidth="1"/>
    <col min="4" max="4" width="29.33203125" bestFit="1" customWidth="1"/>
    <col min="5" max="5" width="12.77734375" bestFit="1" customWidth="1"/>
    <col min="6" max="6" width="15.44140625" bestFit="1" customWidth="1"/>
  </cols>
  <sheetData>
    <row r="4" spans="3:14" x14ac:dyDescent="0.3">
      <c r="C4" s="36" t="s">
        <v>86</v>
      </c>
      <c r="D4" s="36"/>
      <c r="E4" s="36"/>
      <c r="F4" s="36"/>
      <c r="G4" s="36"/>
      <c r="H4" s="36"/>
      <c r="I4" s="36"/>
    </row>
    <row r="5" spans="3:14" x14ac:dyDescent="0.3">
      <c r="C5" s="36"/>
      <c r="D5" s="36"/>
      <c r="E5" s="36"/>
      <c r="F5" s="36"/>
      <c r="G5" s="36"/>
      <c r="H5" s="36"/>
      <c r="I5" s="36"/>
    </row>
    <row r="8" spans="3:14" x14ac:dyDescent="0.3">
      <c r="C8" s="36" t="s">
        <v>87</v>
      </c>
      <c r="D8" s="36"/>
      <c r="E8" s="36"/>
      <c r="F8" s="36"/>
      <c r="G8" s="36"/>
      <c r="H8" s="36"/>
      <c r="I8" s="36"/>
      <c r="J8" s="36"/>
      <c r="K8" s="36"/>
      <c r="L8" s="36"/>
      <c r="M8" s="36"/>
      <c r="N8" s="36"/>
    </row>
    <row r="9" spans="3:14" x14ac:dyDescent="0.3">
      <c r="C9" s="36"/>
      <c r="D9" s="36"/>
      <c r="E9" s="36"/>
      <c r="F9" s="36"/>
      <c r="G9" s="36"/>
      <c r="H9" s="36"/>
      <c r="I9" s="36"/>
      <c r="J9" s="36"/>
      <c r="K9" s="36"/>
      <c r="L9" s="36"/>
      <c r="M9" s="36"/>
      <c r="N9" s="36"/>
    </row>
    <row r="12" spans="3:14" x14ac:dyDescent="0.3">
      <c r="C12" s="12" t="s">
        <v>88</v>
      </c>
      <c r="D12" s="12" t="s">
        <v>89</v>
      </c>
      <c r="E12" s="12" t="s">
        <v>90</v>
      </c>
      <c r="F12" s="12" t="s">
        <v>97</v>
      </c>
    </row>
    <row r="13" spans="3:14" x14ac:dyDescent="0.3">
      <c r="C13" s="13" t="s">
        <v>91</v>
      </c>
      <c r="D13" s="13" t="s">
        <v>94</v>
      </c>
      <c r="E13" s="13" t="s">
        <v>95</v>
      </c>
      <c r="F13" s="14">
        <f ca="1">TODAY()</f>
        <v>46010</v>
      </c>
    </row>
    <row r="14" spans="3:14" x14ac:dyDescent="0.3">
      <c r="C14" s="13" t="s">
        <v>92</v>
      </c>
      <c r="D14" s="13" t="s">
        <v>93</v>
      </c>
      <c r="E14" s="13" t="s">
        <v>96</v>
      </c>
      <c r="F14" s="15">
        <f ca="1">NOW()</f>
        <v>46010.956314351854</v>
      </c>
    </row>
    <row r="17" spans="3:13" x14ac:dyDescent="0.3">
      <c r="C17" s="36" t="s">
        <v>98</v>
      </c>
      <c r="D17" s="36"/>
      <c r="E17" s="36"/>
      <c r="F17" s="36"/>
      <c r="G17" s="36"/>
      <c r="H17" s="36"/>
      <c r="I17" s="36"/>
      <c r="J17" s="36"/>
      <c r="K17" s="36"/>
      <c r="L17" s="36"/>
    </row>
    <row r="18" spans="3:13" x14ac:dyDescent="0.3">
      <c r="C18" s="36"/>
      <c r="D18" s="36"/>
      <c r="E18" s="36"/>
      <c r="F18" s="36"/>
      <c r="G18" s="36"/>
      <c r="H18" s="36"/>
      <c r="I18" s="36"/>
      <c r="J18" s="36"/>
      <c r="K18" s="36"/>
      <c r="L18" s="36"/>
    </row>
    <row r="21" spans="3:13" ht="15.6" x14ac:dyDescent="0.3">
      <c r="C21" s="19">
        <v>45818</v>
      </c>
      <c r="D21" s="17">
        <f ca="1">C21-TODAY()</f>
        <v>-192</v>
      </c>
    </row>
    <row r="24" spans="3:13" x14ac:dyDescent="0.3">
      <c r="C24" s="36" t="s">
        <v>99</v>
      </c>
      <c r="D24" s="36"/>
      <c r="E24" s="36"/>
      <c r="F24" s="36"/>
      <c r="G24" s="36"/>
      <c r="H24" s="36"/>
      <c r="I24" s="36"/>
      <c r="J24" s="36"/>
      <c r="K24" s="36"/>
      <c r="L24" s="36"/>
    </row>
    <row r="25" spans="3:13" x14ac:dyDescent="0.3">
      <c r="C25" s="36"/>
      <c r="D25" s="36"/>
      <c r="E25" s="36"/>
      <c r="F25" s="36"/>
      <c r="G25" s="36"/>
      <c r="H25" s="36"/>
      <c r="I25" s="36"/>
      <c r="J25" s="36"/>
      <c r="K25" s="36"/>
      <c r="L25" s="36"/>
    </row>
    <row r="28" spans="3:13" ht="15.6" x14ac:dyDescent="0.3">
      <c r="D28" s="11" t="str">
        <f ca="1">TEXT(NOW(), "mm/dd/yyyy hh:mm AM/PM")</f>
        <v>12/19/2025 10:57 PM</v>
      </c>
    </row>
    <row r="31" spans="3:13" x14ac:dyDescent="0.3">
      <c r="C31" s="36" t="s">
        <v>100</v>
      </c>
      <c r="D31" s="36"/>
      <c r="E31" s="36"/>
      <c r="F31" s="36"/>
      <c r="G31" s="36"/>
      <c r="H31" s="36"/>
      <c r="I31" s="36"/>
      <c r="J31" s="36"/>
      <c r="K31" s="36"/>
      <c r="L31" s="36"/>
      <c r="M31" s="36"/>
    </row>
    <row r="32" spans="3:13" x14ac:dyDescent="0.3">
      <c r="C32" s="36"/>
      <c r="D32" s="36"/>
      <c r="E32" s="36"/>
      <c r="F32" s="36"/>
      <c r="G32" s="36"/>
      <c r="H32" s="36"/>
      <c r="I32" s="36"/>
      <c r="J32" s="36"/>
      <c r="K32" s="36"/>
      <c r="L32" s="36"/>
      <c r="M32" s="36"/>
    </row>
    <row r="35" spans="3:12" x14ac:dyDescent="0.3">
      <c r="C35" s="38" t="s">
        <v>101</v>
      </c>
      <c r="D35" s="38"/>
      <c r="E35" s="38"/>
      <c r="F35" s="38"/>
    </row>
    <row r="36" spans="3:12" x14ac:dyDescent="0.3">
      <c r="C36" s="38"/>
      <c r="D36" s="38"/>
      <c r="E36" s="38"/>
      <c r="F36" s="38"/>
    </row>
    <row r="37" spans="3:12" x14ac:dyDescent="0.3">
      <c r="C37" s="38"/>
      <c r="D37" s="38"/>
      <c r="E37" s="38"/>
      <c r="F37" s="38"/>
    </row>
    <row r="38" spans="3:12" x14ac:dyDescent="0.3">
      <c r="C38" s="38"/>
      <c r="D38" s="38"/>
      <c r="E38" s="38"/>
      <c r="F38" s="38"/>
    </row>
    <row r="39" spans="3:12" x14ac:dyDescent="0.3">
      <c r="C39" s="38"/>
      <c r="D39" s="38"/>
      <c r="E39" s="38"/>
      <c r="F39" s="38"/>
    </row>
    <row r="40" spans="3:12" x14ac:dyDescent="0.3">
      <c r="C40" s="38"/>
      <c r="D40" s="38"/>
      <c r="E40" s="38"/>
      <c r="F40" s="38"/>
    </row>
    <row r="43" spans="3:12" ht="14.4" customHeight="1" x14ac:dyDescent="0.3">
      <c r="C43" s="37" t="s">
        <v>102</v>
      </c>
      <c r="D43" s="37"/>
      <c r="E43" s="37"/>
      <c r="F43" s="37"/>
      <c r="G43" s="37"/>
      <c r="H43" s="37"/>
      <c r="I43" s="37"/>
      <c r="J43" s="37"/>
      <c r="K43" s="37"/>
      <c r="L43" s="37"/>
    </row>
    <row r="44" spans="3:12" ht="14.4" customHeight="1" x14ac:dyDescent="0.3">
      <c r="C44" s="37"/>
      <c r="D44" s="37"/>
      <c r="E44" s="37"/>
      <c r="F44" s="37"/>
      <c r="G44" s="37"/>
      <c r="H44" s="37"/>
      <c r="I44" s="37"/>
      <c r="J44" s="37"/>
      <c r="K44" s="37"/>
      <c r="L44" s="37"/>
    </row>
    <row r="47" spans="3:12" ht="15.6" x14ac:dyDescent="0.3">
      <c r="E47" s="7" t="s">
        <v>105</v>
      </c>
    </row>
    <row r="48" spans="3:12" ht="15.6" x14ac:dyDescent="0.3">
      <c r="D48" s="16">
        <v>45970</v>
      </c>
      <c r="E48" s="17" t="s">
        <v>103</v>
      </c>
    </row>
    <row r="49" spans="4:5" ht="15.6" x14ac:dyDescent="0.3">
      <c r="D49" s="18">
        <v>0.96388888888888891</v>
      </c>
      <c r="E49" s="17" t="s">
        <v>104</v>
      </c>
    </row>
  </sheetData>
  <mergeCells count="7">
    <mergeCell ref="C43:L44"/>
    <mergeCell ref="C4:I5"/>
    <mergeCell ref="C8:N9"/>
    <mergeCell ref="C17:L18"/>
    <mergeCell ref="C24:L25"/>
    <mergeCell ref="C31:M32"/>
    <mergeCell ref="C35:F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rohit singh</cp:lastModifiedBy>
  <dcterms:created xsi:type="dcterms:W3CDTF">2025-11-07T09:03:12Z</dcterms:created>
  <dcterms:modified xsi:type="dcterms:W3CDTF">2025-12-19T17:28:31Z</dcterms:modified>
</cp:coreProperties>
</file>